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ml.chartshape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5.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126" codeName="{526614CA-9299-8FEA-EDB2-C8A7E91AD4E6}"/>
  <workbookPr codeName="ThisWorkbook"/>
  <mc:AlternateContent xmlns:mc="http://schemas.openxmlformats.org/markup-compatibility/2006">
    <mc:Choice Requires="x15">
      <x15ac:absPath xmlns:x15ac="http://schemas.microsoft.com/office/spreadsheetml/2010/11/ac" url="C:\Users\15832\Downloads\projects\AMEX Certpro Manual Checks\Certpro Proj Docs\Python\"/>
    </mc:Choice>
  </mc:AlternateContent>
  <xr:revisionPtr revIDLastSave="0" documentId="10_ncr:100000_{52718CEA-2AFD-4C28-A435-61FBB09347BD}" xr6:coauthVersionLast="31" xr6:coauthVersionMax="31" xr10:uidLastSave="{00000000-0000-0000-0000-000000000000}"/>
  <bookViews>
    <workbookView xWindow="0" yWindow="0" windowWidth="21160" windowHeight="8950" activeTab="6" xr2:uid="{00000000-000D-0000-FFFF-FFFF00000000}"/>
  </bookViews>
  <sheets>
    <sheet name="Overview" sheetId="18" r:id="rId1"/>
    <sheet name="Gantt" sheetId="20" state="hidden" r:id="rId2"/>
    <sheet name="Test Summary" sheetId="1" r:id="rId3"/>
    <sheet name="Field Options" sheetId="19" state="hidden" r:id="rId4"/>
    <sheet name="AMEX CT" sheetId="16" state="hidden" r:id="rId5"/>
    <sheet name="AMEX CTL" sheetId="17" r:id="rId6"/>
    <sheet name="AMEX QC" sheetId="21" r:id="rId7"/>
    <sheet name="Discover CT" sheetId="4" r:id="rId8"/>
    <sheet name="Instructions" sheetId="23" state="hidden" r:id="rId9"/>
    <sheet name="Discover CTL" sheetId="14" r:id="rId10"/>
    <sheet name="FD Superset" sheetId="22" state="hidden" r:id="rId11"/>
    <sheet name="MasterCard" sheetId="15" r:id="rId12"/>
    <sheet name="VISA CT" sheetId="8" r:id="rId13"/>
    <sheet name="VISA CTL" sheetId="7" r:id="rId14"/>
    <sheet name="VISA US Debit" sheetId="9" r:id="rId15"/>
    <sheet name="Interac" sheetId="5" state="hidden" r:id="rId16"/>
    <sheet name="DNA" sheetId="3" state="hidden" r:id="rId17"/>
  </sheets>
  <definedNames>
    <definedName name="_xlnm._FilterDatabase" localSheetId="2" hidden="1">'Test Summary'!$A$1:$E$13</definedName>
    <definedName name="_MailEndCompose" localSheetId="14">'VISA US Debit'!$F$1</definedName>
    <definedName name="BP">#REF!</definedName>
    <definedName name="Buypass">#REF!</definedName>
    <definedName name="_xlnm.Criteria" localSheetId="2">'Test Summary'!#REF!</definedName>
    <definedName name="FDFE">#REF!</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 "</definedName>
    <definedName name="LOCAL_SECOND_FORMAT" hidden="1">" "</definedName>
    <definedName name="LOCAL_TIME_SEPARATOR" hidden="1">INDEX(GET.WORKSPACE(37),18)</definedName>
    <definedName name="LOCAL_YEAR_FORMAT" hidden="1">INDEX(GET.WORKSPACE(37),19)</definedName>
    <definedName name="NN">#REF!</definedName>
    <definedName name="North_Nashville">#REF!</definedName>
    <definedName name="Omaha">#REF!</definedName>
  </definedNames>
  <calcPr calcId="17901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9" i="1" l="1"/>
  <c r="G5" i="18"/>
  <c r="G6" i="18" s="1"/>
  <c r="G7" i="18" s="1"/>
  <c r="B20" i="1" l="1"/>
  <c r="G8" i="18"/>
  <c r="G9" i="18" s="1"/>
  <c r="G10" i="18" s="1"/>
  <c r="D3" i="19"/>
  <c r="D4" i="19" s="1"/>
  <c r="H3" i="18" s="1"/>
  <c r="C3" i="20" l="1"/>
  <c r="F3" i="1" l="1"/>
  <c r="F4" i="1"/>
  <c r="F5" i="1"/>
  <c r="F6" i="1"/>
  <c r="F7" i="1"/>
  <c r="F8" i="1"/>
  <c r="F9" i="1"/>
  <c r="F10" i="1"/>
  <c r="F11" i="1"/>
  <c r="F12" i="1"/>
  <c r="F13" i="1"/>
  <c r="F2" i="1"/>
  <c r="B4" i="22"/>
  <c r="B3" i="22"/>
  <c r="B2" i="22"/>
  <c r="B1" i="22"/>
  <c r="C17" i="20"/>
  <c r="C16" i="20"/>
  <c r="E10" i="20"/>
  <c r="C11" i="20" s="1"/>
  <c r="E11" i="20"/>
  <c r="C12" i="20" s="1"/>
  <c r="E12" i="20"/>
  <c r="C13" i="20" s="1"/>
  <c r="E13" i="20"/>
  <c r="C14" i="20" s="1"/>
  <c r="E14" i="20"/>
  <c r="E9" i="20"/>
  <c r="C9" i="20"/>
  <c r="D4" i="1" l="1"/>
  <c r="E7" i="1"/>
  <c r="B7" i="1"/>
  <c r="C7" i="1"/>
  <c r="D7" i="1"/>
  <c r="B4" i="1"/>
  <c r="E4" i="1"/>
  <c r="C4" i="1"/>
  <c r="D9" i="20"/>
  <c r="D14" i="20"/>
  <c r="C10" i="20"/>
  <c r="D10" i="20" s="1"/>
  <c r="D11" i="20"/>
  <c r="D12" i="20"/>
  <c r="D13" i="20"/>
  <c r="E3" i="20" l="1"/>
  <c r="B12" i="18"/>
  <c r="L1" i="1" l="1"/>
  <c r="C4" i="20"/>
  <c r="D3" i="20"/>
  <c r="N1" i="1"/>
  <c r="E4" i="20"/>
  <c r="C5" i="20" s="1"/>
  <c r="E3" i="1"/>
  <c r="D3" i="1"/>
  <c r="C3" i="1"/>
  <c r="B3" i="1"/>
  <c r="B4" i="16"/>
  <c r="E2" i="1" s="1"/>
  <c r="B3" i="16"/>
  <c r="D2" i="1" s="1"/>
  <c r="B2" i="16"/>
  <c r="C2" i="1" s="1"/>
  <c r="B1" i="16"/>
  <c r="B2" i="1" s="1"/>
  <c r="E8" i="1"/>
  <c r="D8" i="1"/>
  <c r="C8" i="1"/>
  <c r="B8" i="1"/>
  <c r="E6" i="1"/>
  <c r="D6" i="1"/>
  <c r="C6" i="1"/>
  <c r="B6" i="1"/>
  <c r="E5" i="20" l="1"/>
  <c r="D4" i="20"/>
  <c r="E6" i="20" l="1"/>
  <c r="C6" i="20"/>
  <c r="D5" i="20"/>
  <c r="E7" i="20" l="1"/>
  <c r="C7" i="20"/>
  <c r="D6" i="20"/>
  <c r="C8" i="20" l="1"/>
  <c r="D7" i="20"/>
  <c r="E8" i="20"/>
  <c r="D8" i="20" l="1"/>
  <c r="C11" i="1" l="1"/>
  <c r="B11" i="1"/>
  <c r="D11" i="1"/>
  <c r="E11" i="1"/>
  <c r="D9" i="1"/>
  <c r="C9" i="1"/>
  <c r="B9" i="1"/>
  <c r="E9" i="1"/>
  <c r="D10" i="1"/>
  <c r="C10" i="1"/>
  <c r="B10" i="1"/>
  <c r="E10" i="1"/>
  <c r="B3" i="5"/>
  <c r="D12" i="1" s="1"/>
  <c r="B2" i="5"/>
  <c r="C12" i="1" s="1"/>
  <c r="B1" i="5"/>
  <c r="B12" i="1" s="1"/>
  <c r="B4" i="5"/>
  <c r="E12" i="1" s="1"/>
  <c r="D5" i="1"/>
  <c r="C5" i="1"/>
  <c r="B5" i="1"/>
  <c r="E5" i="1"/>
  <c r="B3" i="3"/>
  <c r="D13" i="1" s="1"/>
  <c r="B2" i="3"/>
  <c r="C13" i="1" s="1"/>
  <c r="B1" i="3"/>
  <c r="B13" i="1" s="1"/>
  <c r="B4" i="3"/>
  <c r="E13" i="1" s="1"/>
  <c r="B16" i="1" l="1"/>
  <c r="B17" i="1" l="1"/>
  <c r="J1" i="1" s="1"/>
  <c r="H1" i="1"/>
</calcChain>
</file>

<file path=xl/sharedStrings.xml><?xml version="1.0" encoding="utf-8"?>
<sst xmlns="http://schemas.openxmlformats.org/spreadsheetml/2006/main" count="1231" uniqueCount="620">
  <si>
    <t>Test Case</t>
  </si>
  <si>
    <t>Pass</t>
  </si>
  <si>
    <t>Fail</t>
  </si>
  <si>
    <t>Pending</t>
  </si>
  <si>
    <t>Sum</t>
  </si>
  <si>
    <t>Result</t>
  </si>
  <si>
    <t>E2E 02</t>
  </si>
  <si>
    <t>E2E 03</t>
  </si>
  <si>
    <t>E2E 04</t>
  </si>
  <si>
    <t>E2E 05</t>
  </si>
  <si>
    <t>E2E 06</t>
  </si>
  <si>
    <t>E2E 07</t>
  </si>
  <si>
    <t>E2E 08</t>
  </si>
  <si>
    <t>E2E 13</t>
  </si>
  <si>
    <t>E2E 14</t>
  </si>
  <si>
    <t>E2E 15</t>
  </si>
  <si>
    <t>E2E 16</t>
  </si>
  <si>
    <t>E2E 17</t>
  </si>
  <si>
    <t>E2E 19</t>
  </si>
  <si>
    <t>E2E 20</t>
  </si>
  <si>
    <t>E2E 22</t>
  </si>
  <si>
    <t>E2E 23</t>
  </si>
  <si>
    <t>E2E 27</t>
  </si>
  <si>
    <t>E2E 28</t>
  </si>
  <si>
    <t>E2E 35</t>
  </si>
  <si>
    <t>E2E 36</t>
  </si>
  <si>
    <t>E2E 37</t>
  </si>
  <si>
    <t>E2E 38</t>
  </si>
  <si>
    <t>E2E 39</t>
  </si>
  <si>
    <t>E2E 42</t>
  </si>
  <si>
    <t>E2E 43</t>
  </si>
  <si>
    <t>E2E 44</t>
  </si>
  <si>
    <t>E2E 45</t>
  </si>
  <si>
    <t>E2E 46</t>
  </si>
  <si>
    <t>E2E 47</t>
  </si>
  <si>
    <t>E2E 48</t>
  </si>
  <si>
    <t>E2E 50</t>
  </si>
  <si>
    <t>E2E 53</t>
  </si>
  <si>
    <t>E2E 54</t>
  </si>
  <si>
    <t>E2E 55</t>
  </si>
  <si>
    <t>Combo01.Test.01.Scenario.01</t>
  </si>
  <si>
    <t>ADVT 1A.4</t>
  </si>
  <si>
    <t>ADVT 2A.1</t>
  </si>
  <si>
    <t>ADVT 1A.1</t>
  </si>
  <si>
    <t>ADVT 1A.5</t>
  </si>
  <si>
    <t>Terminal TC-01</t>
  </si>
  <si>
    <t>Terminal TC-02</t>
  </si>
  <si>
    <t>Terminal TC-03</t>
  </si>
  <si>
    <t>Terminal TC-04</t>
  </si>
  <si>
    <t>Terminal TC-05</t>
  </si>
  <si>
    <t>Terminal TC-08</t>
  </si>
  <si>
    <t>Terminal TC-09</t>
  </si>
  <si>
    <t>Terminal TC-09B</t>
  </si>
  <si>
    <t>Terminal TC-13</t>
  </si>
  <si>
    <t>Terminal TC-14</t>
  </si>
  <si>
    <t>Terminal TC-15</t>
  </si>
  <si>
    <t>Terminal TC-16</t>
  </si>
  <si>
    <t>Terminal TC-17</t>
  </si>
  <si>
    <t>Terminal TC-18</t>
  </si>
  <si>
    <t>Terminal TC-19</t>
  </si>
  <si>
    <t>Terminal TC-20</t>
  </si>
  <si>
    <t>Terminal TC-21</t>
  </si>
  <si>
    <t>Terminal TC-22C</t>
  </si>
  <si>
    <t>Terminal TC-23</t>
  </si>
  <si>
    <t>Terminal TC-25</t>
  </si>
  <si>
    <t>Terminal TC-26</t>
  </si>
  <si>
    <t>Terminal TC-27</t>
  </si>
  <si>
    <t>Terminal TC-29</t>
  </si>
  <si>
    <t>Terminal TC-30</t>
  </si>
  <si>
    <t>Terminal TC-31</t>
  </si>
  <si>
    <t>Terminal TC-33</t>
  </si>
  <si>
    <t>Terminal TC-34</t>
  </si>
  <si>
    <t>Terminal TC-35</t>
  </si>
  <si>
    <t>Terminal TC-36</t>
  </si>
  <si>
    <t>Terminal TC-40</t>
  </si>
  <si>
    <t>UL Notes</t>
  </si>
  <si>
    <t>DNA</t>
  </si>
  <si>
    <t>E2E 10</t>
  </si>
  <si>
    <t>E2E 32</t>
  </si>
  <si>
    <t>E2E 57</t>
  </si>
  <si>
    <t>E2E 58</t>
  </si>
  <si>
    <t>E2E 59</t>
  </si>
  <si>
    <t>E2E 60</t>
  </si>
  <si>
    <t>E2E 63</t>
  </si>
  <si>
    <t>Card01</t>
  </si>
  <si>
    <t>Card02</t>
  </si>
  <si>
    <t>Data01</t>
  </si>
  <si>
    <t>Data02</t>
  </si>
  <si>
    <t>Data03</t>
  </si>
  <si>
    <t>Data04</t>
  </si>
  <si>
    <t>Data06</t>
  </si>
  <si>
    <t>Data08</t>
  </si>
  <si>
    <t>Data09</t>
  </si>
  <si>
    <t>Data10</t>
  </si>
  <si>
    <t>Data13</t>
  </si>
  <si>
    <t>EndToEnd09</t>
  </si>
  <si>
    <t>Function01</t>
  </si>
  <si>
    <t>Function02</t>
  </si>
  <si>
    <t>Function07</t>
  </si>
  <si>
    <t>Function08</t>
  </si>
  <si>
    <t>Function17</t>
  </si>
  <si>
    <t>Function20</t>
  </si>
  <si>
    <t>Function21</t>
  </si>
  <si>
    <t>Function23</t>
  </si>
  <si>
    <t>Function24</t>
  </si>
  <si>
    <t>Function25</t>
  </si>
  <si>
    <t>Inter01</t>
  </si>
  <si>
    <t>Inter02</t>
  </si>
  <si>
    <t>Inter03</t>
  </si>
  <si>
    <t>Inter04</t>
  </si>
  <si>
    <t>Inter05</t>
  </si>
  <si>
    <t>Offline01</t>
  </si>
  <si>
    <t>Offline02</t>
  </si>
  <si>
    <t>Other01</t>
  </si>
  <si>
    <t>Other02</t>
  </si>
  <si>
    <t>Other03</t>
  </si>
  <si>
    <t>Select01</t>
  </si>
  <si>
    <t>Select02</t>
  </si>
  <si>
    <t>Select03</t>
  </si>
  <si>
    <t>Select04</t>
  </si>
  <si>
    <t>Select05</t>
  </si>
  <si>
    <t>Select06</t>
  </si>
  <si>
    <t>Select08</t>
  </si>
  <si>
    <t>Select09</t>
  </si>
  <si>
    <t>Select10</t>
  </si>
  <si>
    <t>Select11</t>
  </si>
  <si>
    <t>Select13</t>
  </si>
  <si>
    <t>Select14</t>
  </si>
  <si>
    <t>Select15</t>
  </si>
  <si>
    <t>Select16</t>
  </si>
  <si>
    <t>Select17</t>
  </si>
  <si>
    <t>Select18</t>
  </si>
  <si>
    <t>Select18a</t>
  </si>
  <si>
    <t>Select19</t>
  </si>
  <si>
    <t>Select20</t>
  </si>
  <si>
    <t>Select20a</t>
  </si>
  <si>
    <t>Select21</t>
  </si>
  <si>
    <t>Select22</t>
  </si>
  <si>
    <t>Select23</t>
  </si>
  <si>
    <t>Select25</t>
  </si>
  <si>
    <t>Select36</t>
  </si>
  <si>
    <t>Select37</t>
  </si>
  <si>
    <t>Select38</t>
  </si>
  <si>
    <t>Interac</t>
  </si>
  <si>
    <t>MasterCard</t>
  </si>
  <si>
    <t>ADVT 3A.1</t>
  </si>
  <si>
    <t>Start</t>
  </si>
  <si>
    <t>Today</t>
  </si>
  <si>
    <t>Days Spent</t>
  </si>
  <si>
    <t>Days Remaining</t>
  </si>
  <si>
    <t>AXP EP003</t>
  </si>
  <si>
    <t>AXP EP004</t>
  </si>
  <si>
    <t>AXP EP005</t>
  </si>
  <si>
    <t>AXP EP006</t>
  </si>
  <si>
    <t>AXP EP008</t>
  </si>
  <si>
    <t>AXP EP010</t>
  </si>
  <si>
    <t>AXP EP011</t>
  </si>
  <si>
    <t>AXP EP012</t>
  </si>
  <si>
    <t>AXP EP013</t>
  </si>
  <si>
    <t>AXP EP014</t>
  </si>
  <si>
    <t>AXP EP015</t>
  </si>
  <si>
    <t>AXP EP016</t>
  </si>
  <si>
    <t>AXP EP017</t>
  </si>
  <si>
    <t>AXP EP018</t>
  </si>
  <si>
    <t>AXP EP019</t>
  </si>
  <si>
    <t>AXP EP020</t>
  </si>
  <si>
    <t>AXP EP021</t>
  </si>
  <si>
    <t>AXP EP023</t>
  </si>
  <si>
    <t>AXP EP033</t>
  </si>
  <si>
    <t>AXP EP035</t>
  </si>
  <si>
    <t>AXP EMV 001 - Offline Enciphered PIN DDA</t>
  </si>
  <si>
    <t>AXP EMV 002 - Signature</t>
  </si>
  <si>
    <t>AXP EMV 003 - Online PIN</t>
  </si>
  <si>
    <t>AXP EMV 004 - Script update</t>
  </si>
  <si>
    <t>AXP EMV 005 - Multiple Script Update</t>
  </si>
  <si>
    <t>AXP EMV 006 - Invalid Offline PIN Entry</t>
  </si>
  <si>
    <t>AXP EMV 007 - Magstripe Fallback Approval</t>
  </si>
  <si>
    <t>AXP EMV 008 - PIN Bypass</t>
  </si>
  <si>
    <t>AXP EMV 010 - Expired Card Online Approval</t>
  </si>
  <si>
    <t>AXP EMV 011 - Invalid Public Key</t>
  </si>
  <si>
    <t>AXP EMV 012 - Online Decline</t>
  </si>
  <si>
    <t>AXP EMV 013 - Call Issuer</t>
  </si>
  <si>
    <t>AXP EMV 014 - Expired Card Online Decline</t>
  </si>
  <si>
    <t>AXP EMV 015 - Unable to Go Online</t>
  </si>
  <si>
    <t>AXP EMV 016 - ODA Failure</t>
  </si>
  <si>
    <t>AXP EMV 017.2 - Magstripe Fallback Empty Candidate List</t>
  </si>
  <si>
    <t>AXP EMV 018 - Blocked Card Application</t>
  </si>
  <si>
    <t>AXP EMV 019 - Pre Authorization</t>
  </si>
  <si>
    <t>AXP EMV 020 - Referral</t>
  </si>
  <si>
    <t>AXP EMV 021 - Referral with Issuer Script</t>
  </si>
  <si>
    <t>AXP EMV 022 - Reversal</t>
  </si>
  <si>
    <t>AXP EMV 023 - Reversal Issuer Authentication Failed</t>
  </si>
  <si>
    <t>AXP EMV 026 - Offline Enciphered PIN CDA</t>
  </si>
  <si>
    <t>AXP EMV 027 - Multiple Application Selection</t>
  </si>
  <si>
    <t>AXP EMV 028 - Chip Downgraded Mode Approval</t>
  </si>
  <si>
    <t>AXP EMV 029 - Chip Downgraded Mode Denial</t>
  </si>
  <si>
    <t>AXP EMV 030 - No CVM Required</t>
  </si>
  <si>
    <t>AXP EMV 032 - Online PIN Successful PIN</t>
  </si>
  <si>
    <t>AXP EMV 034 - Online PIN - Incorrect PIN restart chip transaction</t>
  </si>
  <si>
    <t>AXP EMV 035 - Online PIN - Pin Try Limit Exceeded</t>
  </si>
  <si>
    <t>AXP EMV 036 - Online PIN 6 digit Online PIN</t>
  </si>
  <si>
    <t>AXP EMV 037 - Online PIN Bypass</t>
  </si>
  <si>
    <t>AXP EMV 039 - Online PIN Declined</t>
  </si>
  <si>
    <t>AXP MAG 001 - Magstripe ANSI</t>
  </si>
  <si>
    <t>AXP MAG 002 - Magstripe ISO</t>
  </si>
  <si>
    <t>AXP RCP 001 - Receipt</t>
  </si>
  <si>
    <t>UL Review</t>
  </si>
  <si>
    <t>E2E CL 01</t>
  </si>
  <si>
    <t>E2E CL 02</t>
  </si>
  <si>
    <t>E2E CL 04</t>
  </si>
  <si>
    <t>E2E CL 05</t>
  </si>
  <si>
    <t>E2E CL 07</t>
  </si>
  <si>
    <t>E2E CL 08</t>
  </si>
  <si>
    <t>E2E CL 09</t>
  </si>
  <si>
    <t>E2E CL 10</t>
  </si>
  <si>
    <t>E2E CL 11</t>
  </si>
  <si>
    <t>E2E CL 12</t>
  </si>
  <si>
    <t>E2E CL 14</t>
  </si>
  <si>
    <t>E2E CL 15</t>
  </si>
  <si>
    <t>E2E CL 16</t>
  </si>
  <si>
    <t>E2E CL 17</t>
  </si>
  <si>
    <t>E2E CL 18</t>
  </si>
  <si>
    <t>E2E CL 19</t>
  </si>
  <si>
    <t>E2E CL 20</t>
  </si>
  <si>
    <t>E2E CL 21</t>
  </si>
  <si>
    <t>E2E CL 23</t>
  </si>
  <si>
    <t>E2E CL 24</t>
  </si>
  <si>
    <t>E2E CL 26</t>
  </si>
  <si>
    <t>E2E CL 27</t>
  </si>
  <si>
    <t>E2E CL 28</t>
  </si>
  <si>
    <t>E2E CL 30</t>
  </si>
  <si>
    <t>E2E CL 31</t>
  </si>
  <si>
    <t>E2E CL 32</t>
  </si>
  <si>
    <t>E2E CL 33</t>
  </si>
  <si>
    <t>Test Case 01</t>
  </si>
  <si>
    <t>Test Case 02</t>
  </si>
  <si>
    <t>Test Case 03</t>
  </si>
  <si>
    <t>Test Case 04</t>
  </si>
  <si>
    <t>Test Case 06</t>
  </si>
  <si>
    <t>Test Case 07</t>
  </si>
  <si>
    <t>Test Case 09</t>
  </si>
  <si>
    <t>Test Case 10</t>
  </si>
  <si>
    <t>Test Case 11</t>
  </si>
  <si>
    <t>Test Case 12</t>
  </si>
  <si>
    <t>Test Case 14</t>
  </si>
  <si>
    <t xml:space="preserve">General Info: </t>
  </si>
  <si>
    <t>Client Name</t>
  </si>
  <si>
    <t>CertPro ID</t>
  </si>
  <si>
    <t>Current Step</t>
  </si>
  <si>
    <t>Interface to be Certified</t>
  </si>
  <si>
    <t>Transaction Type</t>
  </si>
  <si>
    <t>PwP ID/ Cert ID</t>
  </si>
  <si>
    <t>Step 1 - EMV Onboarding</t>
  </si>
  <si>
    <t>Step 2 - EMV Setup</t>
  </si>
  <si>
    <t>Step 3 - Test Execution</t>
  </si>
  <si>
    <t>Step 4 - Pre-Validation</t>
  </si>
  <si>
    <t>Step 5 - Validation</t>
  </si>
  <si>
    <t>Step 6 - Approval</t>
  </si>
  <si>
    <t>Contact Only</t>
  </si>
  <si>
    <t>Contactless Only</t>
  </si>
  <si>
    <t>Contact + Contactless</t>
  </si>
  <si>
    <t>Debit Only</t>
  </si>
  <si>
    <t>Credit Only</t>
  </si>
  <si>
    <t>Credit + Debit</t>
  </si>
  <si>
    <t xml:space="preserve">Key Actors: </t>
  </si>
  <si>
    <t>FD Cert Analyst</t>
  </si>
  <si>
    <t>FD Relationship Manager</t>
  </si>
  <si>
    <t>UL Cert Analyst</t>
  </si>
  <si>
    <t>Name</t>
  </si>
  <si>
    <t xml:space="preserve">Project Planning: </t>
  </si>
  <si>
    <t>Kick-Off Meeting Date</t>
  </si>
  <si>
    <t>Target Completion Date</t>
  </si>
  <si>
    <t>Actual Completion Date</t>
  </si>
  <si>
    <t>UL Holidays</t>
  </si>
  <si>
    <t>New Year's Day</t>
  </si>
  <si>
    <t>MLK Day</t>
  </si>
  <si>
    <t>Memorial Day</t>
  </si>
  <si>
    <t>Independence Day</t>
  </si>
  <si>
    <t>Labor Day</t>
  </si>
  <si>
    <t>Thanksgiving Day</t>
  </si>
  <si>
    <t>Day after Thanksgiving</t>
  </si>
  <si>
    <t>Christmas Eve</t>
  </si>
  <si>
    <t>Chrstmas Day</t>
  </si>
  <si>
    <t xml:space="preserve">Certification Scope: </t>
  </si>
  <si>
    <t>Test Plan</t>
  </si>
  <si>
    <t>Included?</t>
  </si>
  <si>
    <t>Certification Progress Report</t>
  </si>
  <si>
    <t>v1.0</t>
  </si>
  <si>
    <t>First Data Superset</t>
  </si>
  <si>
    <t>Visa Contact</t>
  </si>
  <si>
    <t>Visa Contactless</t>
  </si>
  <si>
    <t>Visa US Debit</t>
  </si>
  <si>
    <t xml:space="preserve">American Express Contact </t>
  </si>
  <si>
    <t xml:space="preserve">American Express Contactless </t>
  </si>
  <si>
    <t xml:space="preserve">American Express Quick Chip </t>
  </si>
  <si>
    <t xml:space="preserve">Discover Contact </t>
  </si>
  <si>
    <t xml:space="preserve">Discover Contactless </t>
  </si>
  <si>
    <t>Yes or No</t>
  </si>
  <si>
    <t>No</t>
  </si>
  <si>
    <t>Yes</t>
  </si>
  <si>
    <t>Task</t>
  </si>
  <si>
    <t xml:space="preserve">Duration </t>
  </si>
  <si>
    <t>End</t>
  </si>
  <si>
    <t>P1 - EMV Onboarding</t>
  </si>
  <si>
    <t>P2 - EMV Setup</t>
  </si>
  <si>
    <t>P3 - Test Execution</t>
  </si>
  <si>
    <t>P4 - Pre-Validation</t>
  </si>
  <si>
    <t>P5 - Validation</t>
  </si>
  <si>
    <t>P6 - Approval</t>
  </si>
  <si>
    <t>A1 - EMV Onboarding</t>
  </si>
  <si>
    <t>A2 - EMV Setup</t>
  </si>
  <si>
    <t>A3 - Test Execution</t>
  </si>
  <si>
    <t>A4 - Pre-Validation</t>
  </si>
  <si>
    <t>A5 - Validation</t>
  </si>
  <si>
    <t>A6 - Approval</t>
  </si>
  <si>
    <t>Assigned to</t>
  </si>
  <si>
    <t>P - Planned</t>
  </si>
  <si>
    <t>A - Actual</t>
  </si>
  <si>
    <t>Total</t>
  </si>
  <si>
    <t>Please select…</t>
  </si>
  <si>
    <t>Applicability</t>
  </si>
  <si>
    <t>Fail&amp;Pending</t>
  </si>
  <si>
    <t>Certification Progress Form Help</t>
  </si>
  <si>
    <t>Active Business Days</t>
  </si>
  <si>
    <t>Remaining Business Days</t>
  </si>
  <si>
    <t>** Note: [] Refers to the location of the cell.</t>
  </si>
  <si>
    <t>General</t>
  </si>
  <si>
    <t>[C15-C26]</t>
  </si>
  <si>
    <t>[C9-C12]</t>
  </si>
  <si>
    <t xml:space="preserve">Key Actors: FD Cert Analyst, FD Relationship Manager, UL Cert Analyst, and Client's names will appear in the drop down for "Assigned to" column in enabled test plan tab. </t>
  </si>
  <si>
    <t xml:space="preserve">[C6] </t>
  </si>
  <si>
    <t>It's okay to add tabs to the workbook</t>
  </si>
  <si>
    <t>[G3]</t>
  </si>
  <si>
    <t>Tab --&gt; Overview</t>
  </si>
  <si>
    <t>Tab --&gt; Test Summary</t>
  </si>
  <si>
    <t xml:space="preserve">Certification Scope: If a test plan is included in certification please select "Yes". It will enable the corresponding test plan tab. </t>
  </si>
  <si>
    <t>General Info: Current Step -&gt; "Step 3 - Test Execution" will activate the "Passed test cases VS Active business days" chart in Tab Test Summary</t>
  </si>
  <si>
    <t xml:space="preserve">Project Planning: All target dates are based on the KOM meeting date. </t>
  </si>
  <si>
    <t xml:space="preserve">Only the activated test plans in Certification Scope will show up here. </t>
  </si>
  <si>
    <t>Tab --&gt; Test Plans (AMEX CT, Discover CT, MasterCard, etc)</t>
  </si>
  <si>
    <t>[A1-A4]</t>
  </si>
  <si>
    <t xml:space="preserve">The test results sum-up are automatic. Please do not modify. </t>
  </si>
  <si>
    <t xml:space="preserve">Please make sure that all test cases are included in the test case table. You can do so by dragging the little angle symbol at the bottom right corner. </t>
  </si>
  <si>
    <t>Please copy and paste over the test cases that are applicable for your project from CertPro without format or right click Paste Options --&gt; Match Destination Formatting (M).</t>
  </si>
  <si>
    <t>Please DO NOT modify the first 4 columns (A to D). It's okay to add columns if needed.</t>
  </si>
  <si>
    <t>DO NOT DELETE any existing tab from this workbook.</t>
  </si>
  <si>
    <t>FD Holidays (Addition)</t>
  </si>
  <si>
    <t>President's Day</t>
  </si>
  <si>
    <t>Veterans Day</t>
  </si>
  <si>
    <t>InfoNet</t>
  </si>
  <si>
    <t>Mandal, Moupali</t>
  </si>
  <si>
    <t>Wilkie, Tammy</t>
  </si>
  <si>
    <t>Jhansi Jangam</t>
  </si>
  <si>
    <t>Vilson &amp; Tony</t>
  </si>
  <si>
    <t>Terminal cat code must be 05(AFD).
In backend DE35 or 45 is missing. Mouplai, please veirfy</t>
  </si>
  <si>
    <t>00 00 00 80 00</t>
  </si>
  <si>
    <t>Credit</t>
  </si>
  <si>
    <t>Approved</t>
  </si>
  <si>
    <t>41 03 02</t>
  </si>
  <si>
    <t>TVR</t>
  </si>
  <si>
    <t>Unpredictable number</t>
  </si>
  <si>
    <t>amount</t>
  </si>
  <si>
    <t>Credit/Debit</t>
  </si>
  <si>
    <t>approved/Decline</t>
  </si>
  <si>
    <t>CVM perfomred</t>
  </si>
  <si>
    <t>TX ID</t>
  </si>
  <si>
    <t>POS entry Mode</t>
  </si>
  <si>
    <t>9F 33</t>
  </si>
  <si>
    <t>04/05: Received the information that the card image(AEIPS 24) ATC should be changed to 12 01 to resolve the issue.
Transaction got approved instead of declines.</t>
  </si>
  <si>
    <t>Transaction got approved instead of declines.</t>
  </si>
  <si>
    <t>Transaction got delcined with response code 101 instead of 100</t>
  </si>
  <si>
    <t>Pos entry mode must be sent as 80. sometimes it may be due to test case exeuciton issue. Try to quickly insert the plastic after removing the probe.</t>
  </si>
  <si>
    <t>F5 62 D2 F3</t>
  </si>
  <si>
    <t>No CVM</t>
  </si>
  <si>
    <t>Column1</t>
  </si>
  <si>
    <t>MSR Approved.</t>
  </si>
  <si>
    <t>PAN</t>
  </si>
  <si>
    <t>01 03 02(Mobile CVM)</t>
  </si>
  <si>
    <t>completion: 86491897
Auth : 86491895</t>
  </si>
  <si>
    <t>2.02
Auth request amount : $201.00</t>
  </si>
  <si>
    <t>PAN                      = 374245001751006</t>
  </si>
  <si>
    <t>Completion:   86491893
orig Auth :   86491891</t>
  </si>
  <si>
    <t>5.02
Auth request amount : $201.00</t>
  </si>
  <si>
    <t>PAN                      = 374245001761005</t>
  </si>
  <si>
    <t>Auth: 86496727
Completion : 86496731</t>
  </si>
  <si>
    <t>Auth : $201.00</t>
  </si>
  <si>
    <t>MSR declined</t>
  </si>
  <si>
    <t>mobile CVM failed</t>
  </si>
  <si>
    <t>approved</t>
  </si>
  <si>
    <t>3F 00 00</t>
  </si>
  <si>
    <t>Auth:  86550357
Completion :  86553081</t>
  </si>
  <si>
    <t>not being sent</t>
  </si>
  <si>
    <t>4761739001010135</t>
  </si>
  <si>
    <t>Auth:20.2
completion: $1.08 in common GRP, in EMV GRP - &gt; $20.20</t>
  </si>
  <si>
    <t>CA 9C 25 0F</t>
  </si>
  <si>
    <t>Auth: 86566677</t>
  </si>
  <si>
    <t>Auth: $201.00
completion : $2.77</t>
  </si>
  <si>
    <t>31 AB 8A E0</t>
  </si>
  <si>
    <t>Auth: 86567497
completion :   86567501</t>
  </si>
  <si>
    <t xml:space="preserve"> DA 57 55 4B</t>
  </si>
  <si>
    <t>9F 34</t>
  </si>
  <si>
    <t>1F 03 02</t>
  </si>
  <si>
    <t>no cvm</t>
  </si>
  <si>
    <t>terminal type</t>
  </si>
  <si>
    <t>Auth:  86553293</t>
  </si>
  <si>
    <t xml:space="preserve"> Auth: 86724317 Completion :  86724319</t>
  </si>
  <si>
    <t>44 03 02</t>
  </si>
  <si>
    <t>55 01 3A FA</t>
  </si>
  <si>
    <t>Auth: 86724321
completion : 86724323</t>
  </si>
  <si>
    <t>offline pin</t>
  </si>
  <si>
    <t>04/27/2018: Device type indicator in MC grp must not be sent for contact transctions(POS entry mode: 051, 801, 901). It is only required to sent for pos entry modes: 071 &amp; 911 etc.
Tag:9F 33 &amp; 9F 53 are missing..
Transactions are now being sent as credit- which is expected behaviour.</t>
  </si>
  <si>
    <t>F5 F0 8B A7</t>
  </si>
  <si>
    <t>00 00 04 80 00</t>
  </si>
  <si>
    <t>42 03 00</t>
  </si>
  <si>
    <t>Auth: 86724343
completion: 86724345</t>
  </si>
  <si>
    <t>online pin</t>
  </si>
  <si>
    <t>05/04/2018: 
Visa TTQ must be sent as 36 80 40 00. As terminal support contact EMV also (Byte1 bit5) must be enabled. Visa recently announced that MSD contactless card are not acceptable in near future. So disable Byte1bit8.</t>
  </si>
  <si>
    <t xml:space="preserve">05/04/2018: All lokks good.04/27/2018: Device type indicator in MC grp must not be sent for contact transctions(POS entry mode: 051, 801, 901). It is only required to sent for pos entry modes: 071 &amp; 911 etc.
Tag:9F 33 &amp; 9F 53 are missing..
Transactions are now being sent as credit- which is expected behaviour.
03/29/2018: Transaction was sent as Debits, </t>
  </si>
  <si>
    <t>Transaction amount in card log is : $16.00, but in receipt it was : $2.19 which is confusing. Please fix it. Tag:9F 02 &amp; common grp -&gt; transction amount is not matching. Please run on E2E 14 &amp; E2E 13 transactions and send the results.</t>
  </si>
  <si>
    <t>05/15: Fixed in E2E CL 21 
TTQ: Tag 9F 66: Terminal Transaction Qualifiers [DPAS]                         : B0 80 C0 00 .
As client support Online pin in ctls enable byte1bit3, then they 1st byte would be B4.
If client is not supporting issuer scripts in ctls, please diable byte3bit8, then byte3 would be 40</t>
  </si>
  <si>
    <t>NA</t>
  </si>
  <si>
    <t>OK4009</t>
  </si>
  <si>
    <t>05/16/2017: Pass</t>
  </si>
  <si>
    <t>TestCase01(a)</t>
  </si>
  <si>
    <t>TestCase08</t>
  </si>
  <si>
    <t>TestCase12</t>
  </si>
  <si>
    <t>TestCase15</t>
  </si>
  <si>
    <t>TestCase16</t>
  </si>
  <si>
    <t>TestCase17</t>
  </si>
  <si>
    <t>TestCase19</t>
  </si>
  <si>
    <t>TestCase20</t>
  </si>
  <si>
    <t>TestCase21</t>
  </si>
  <si>
    <t>TestCase23</t>
  </si>
  <si>
    <t>05/17/2018: Val team confirmed that amount $125.00 can be used.  05/15/2018: Network unavaible issue. Curently, pump has the maximum transction limit $125.00. They can't perform transction above that. What is the suggested value for E2e CL 10.</t>
  </si>
  <si>
    <t>7D5B7B0A</t>
  </si>
  <si>
    <t>60 48 08</t>
  </si>
  <si>
    <t>00 80 04 80 00</t>
  </si>
  <si>
    <t>tag not sent</t>
  </si>
  <si>
    <t>Auth: 87794241</t>
  </si>
  <si>
    <t>02 80 04 80 00</t>
  </si>
  <si>
    <t xml:space="preserve"> 88 96 CF B9</t>
  </si>
  <si>
    <t>02 03 00</t>
  </si>
  <si>
    <t>60 D8 C8</t>
  </si>
  <si>
    <t>00 00 00 00 00</t>
  </si>
  <si>
    <t>38 C6 EC EA</t>
  </si>
  <si>
    <t>20 68 40</t>
  </si>
  <si>
    <t>Auth: 87755141</t>
  </si>
  <si>
    <t>power down the terminal.</t>
  </si>
  <si>
    <t>05/16/2018: Pass</t>
  </si>
  <si>
    <t>05/16/2018: TTQ set to correct value. 36 80 40 00</t>
  </si>
  <si>
    <t>Pin is not performed.</t>
  </si>
  <si>
    <t>Test Case 08</t>
  </si>
  <si>
    <t>Debit</t>
  </si>
  <si>
    <t>81 97 F7 00</t>
  </si>
  <si>
    <t>98 08 40 selected.</t>
  </si>
  <si>
    <t>80 80 04 80 00</t>
  </si>
  <si>
    <t>Auth: 88114003</t>
  </si>
  <si>
    <t>42 00 00</t>
  </si>
  <si>
    <t>64 DD 54 AF</t>
  </si>
  <si>
    <t>80 80 00 80 00</t>
  </si>
  <si>
    <t>Credit.
A0 00 00 00 03 10 10 selected</t>
  </si>
  <si>
    <t>1F 00 02</t>
  </si>
  <si>
    <t>Tag 9F 66: A6 C0 40 00</t>
  </si>
  <si>
    <t>Column2</t>
  </si>
  <si>
    <t>02 00 00</t>
  </si>
  <si>
    <t>D8 51 50 32</t>
  </si>
  <si>
    <t>05/24/2018: Visa TTQ must be sent as 36 xx xx xx. As terminal support contact EMV also (Byte1 bit5) must be enabled. Visa recently announced that MSD contactless card are not acceptable in near future. So disable Byte1bit8.
05/18/2018_2ndRun: Fail
05/18/2018_1stRun: Pin is not performed</t>
  </si>
  <si>
    <t>5413330056003529</t>
  </si>
  <si>
    <t>OK7262
approved</t>
  </si>
  <si>
    <t>05/24/2018: Pass</t>
  </si>
  <si>
    <t>35 42 C1 A0</t>
  </si>
  <si>
    <t>In card log -&gt; 1st GEN AC states that Transction approved offline, which is incorrect.Please check with terminal vendor.
CDA &amp; CVM Failed. 
For US Maestro : Tag:9F 33 must be 60 08 08 for below CVM limit (&lt;$50.00)
60 40 08 for above cvm limit (&gt; $50.00)</t>
  </si>
  <si>
    <t xml:space="preserve">06/05/2018: Terminal type incorrectly sent as 21. It should be 25.
 </t>
  </si>
  <si>
    <t>29 FB ED EF</t>
  </si>
  <si>
    <t>Credit- Master card</t>
  </si>
  <si>
    <t>04 00 04 80 00</t>
  </si>
  <si>
    <t>60 40 08</t>
  </si>
  <si>
    <t>Column3</t>
  </si>
  <si>
    <t>Auth : 710100</t>
  </si>
  <si>
    <t>pos: 071</t>
  </si>
  <si>
    <t>19 CC E2 81</t>
  </si>
  <si>
    <t>04 00 00 80 00</t>
  </si>
  <si>
    <t>Debit-Maestro</t>
  </si>
  <si>
    <t>01 00 02</t>
  </si>
  <si>
    <t>Host log is not observed in Certpro.</t>
  </si>
  <si>
    <t>Pos: 071</t>
  </si>
  <si>
    <t>5541 - Merchant cat code</t>
  </si>
  <si>
    <t>00 00 44 80 00</t>
  </si>
  <si>
    <t>POS: 071</t>
  </si>
  <si>
    <t>tag:9f 6e observed. But DE48SE23 was not sent to MC which is correct.</t>
  </si>
  <si>
    <t>3B 48 64 A1</t>
  </si>
  <si>
    <t>Online pin 02 03 00</t>
  </si>
  <si>
    <t>06/05/2018: terminal type is incorrect.
05/24/2018:Above CVM, tag:9F 33 must be 60 40 08 and CVM must be perfomed successfully.</t>
  </si>
  <si>
    <t>06/05/2018: Transaction is not observed in CerTPro. What is the transaction amount? In receipt, amount is $0.00. Is it approved or declined?
05/24/2018:Should get declined, but got approved in completion request. May be due to placeholder amount.</t>
  </si>
  <si>
    <t>3D CB 3E 0E</t>
  </si>
  <si>
    <t>08 40 80 80 00</t>
  </si>
  <si>
    <t>Declined with 101</t>
  </si>
  <si>
    <t xml:space="preserve"> 93 FD 8F 9E</t>
  </si>
  <si>
    <t>08 00 80 80 00</t>
  </si>
  <si>
    <t>06/05/2018: DDA failure is expected. But CVM failed. please note the ATC value
prev:DDA Failed card got the back end response code : 039: Action Code                                   = "900" (Accepted - ATC Synchronization) instead of approval. But in Front end, it get approved.</t>
  </si>
  <si>
    <t xml:space="preserve">BTT :   Revision:  12561, latest 13189
06/05/2018: Could not find the FE request. Inbackend, getting the response as expiried card. make sure to send the terminal type as 25 and rerun. DDA failure observed- Which is correct. CVM get failed - is in correct. Must be perform online pin.
04/05: Received the information that the card image(AEIPS 25) ATC should be changed to 10 01 to resolve the issue.
Instead of approval getting the decline.
039: Action Code                                   = "101" (Expired Card / Invalid Expiration Date)
</t>
  </si>
  <si>
    <t>06/22/2018: Pass
06/05/2018: same issue as previous.
Transction got decline offline. Please verify.</t>
  </si>
  <si>
    <t>01 2C 29 3E</t>
  </si>
  <si>
    <t>CDCVM</t>
  </si>
  <si>
    <t>p:071</t>
  </si>
  <si>
    <t>B9 68 01 0C</t>
  </si>
  <si>
    <t>06/22/2018: No back end logs.
Tag:9F 6E must not be sent as it contains junk data.
06/05/2018: terminal type sent as 21.
05/24:TVR Byte4bit8 - Transction exceeds floor limit bit is not set. Please set and rerun.</t>
  </si>
  <si>
    <t>D4 28 76 5D</t>
  </si>
  <si>
    <t>STAN: 059584</t>
  </si>
  <si>
    <t>06/22/2018: Pass
06/05/2018:
CDA Failed.
Terminal type incorrectly sent as 21
05/24/2018:
CDA failed. 
By 1st GEN AC, it seems trasnaction approved offline, even if transction actually went online. Please check with terminal vendor.
Please check the CVM limit. For Global debits, it should be $0.00. Please rerun  after fixing.</t>
  </si>
  <si>
    <t>Tag:9F 33 is missing. 
Tag:9F 6E must not be sent if 3rd byte bit8 set to1
The below tags arenot sent in message request. 
tag:5F 24, 9F 09, 9F 1E, 9F 35, 9F 39, 9F 41, 9F 53</t>
  </si>
  <si>
    <t>AXP QC 001</t>
  </si>
  <si>
    <t>AXP QC 004</t>
  </si>
  <si>
    <t>AXP QC 005</t>
  </si>
  <si>
    <t>AXP QC 006</t>
  </si>
  <si>
    <t>AXP QC 007</t>
  </si>
  <si>
    <t>AXP QC 008</t>
  </si>
  <si>
    <t>AXP QC 010</t>
  </si>
  <si>
    <t>AXP QC 011</t>
  </si>
  <si>
    <t>AXP QC 012</t>
  </si>
  <si>
    <t>AXP QC 013</t>
  </si>
  <si>
    <t>AXP QC 014</t>
  </si>
  <si>
    <t>AXP QC 015</t>
  </si>
  <si>
    <t>AXP QC 016</t>
  </si>
  <si>
    <t>AXP QC 017</t>
  </si>
  <si>
    <t>AXP QC 018</t>
  </si>
  <si>
    <t>AXP QC 019</t>
  </si>
  <si>
    <t>AXP QC 021</t>
  </si>
  <si>
    <t>AXP QC 022</t>
  </si>
  <si>
    <t>AXP QC 026</t>
  </si>
  <si>
    <t>AXP QC 027</t>
  </si>
  <si>
    <t>AXP QC 028</t>
  </si>
  <si>
    <t>AXP QC 029</t>
  </si>
  <si>
    <t>AXP QC 030</t>
  </si>
  <si>
    <t>AXP QC 032</t>
  </si>
  <si>
    <t>AXP QC 033</t>
  </si>
  <si>
    <t>AXP QC 035</t>
  </si>
  <si>
    <t>AXP QC 036</t>
  </si>
  <si>
    <t>AXP QC 037</t>
  </si>
  <si>
    <t>AXP QC 039</t>
  </si>
  <si>
    <t>AXP QC MAG 001</t>
  </si>
  <si>
    <t>AXP QC MAG 002</t>
  </si>
  <si>
    <t>AXP QC RCP 001</t>
  </si>
  <si>
    <t>Combo11.Test.11.Scenario.01</t>
  </si>
  <si>
    <t>Combo21.Test.02.Scenario.01</t>
  </si>
  <si>
    <t>Combo23.Test.01.Scenario.01</t>
  </si>
  <si>
    <t>Combo32.Test.01.Scenario.02</t>
  </si>
  <si>
    <t>M-TIP02.Test.01.Scenario.01</t>
  </si>
  <si>
    <t>M-TIP03-USM.Test.01.Scenario.02f</t>
  </si>
  <si>
    <t>M-TIP04.Test.01.Scenario.02</t>
  </si>
  <si>
    <t>M-TIP05-USM.Test.01.Scenario.01f</t>
  </si>
  <si>
    <t>M-TIP05-USM.Test.05.Scenario.01f</t>
  </si>
  <si>
    <t>M-TIP06.Test.01.Scenario.01f</t>
  </si>
  <si>
    <t>M-TIP06.Test.13.Scenario.01f</t>
  </si>
  <si>
    <t>M-TIP10.Test.04.Scenario.01f</t>
  </si>
  <si>
    <t>M-TIP12-USM.Test.12.Scenario.01f</t>
  </si>
  <si>
    <t>M-TIP13-USM.Test.01.Scenario.01f</t>
  </si>
  <si>
    <t>M-TIP13.Test.01.Scenario.01f</t>
  </si>
  <si>
    <t>M-TIP15.Test.01.Scenario.02f</t>
  </si>
  <si>
    <t>M-TIP31-USM.Test.01.Scenario.01f</t>
  </si>
  <si>
    <t>M-TIP32.Test.01.Scenario.01f</t>
  </si>
  <si>
    <t>M-TIP40.Test.01.Scenario.01</t>
  </si>
  <si>
    <t>M-TIP41.Test.01.Scenario.01</t>
  </si>
  <si>
    <t>M-TIP50.Test.01.Scenario.01</t>
  </si>
  <si>
    <t>M-TIP50.Test.02.Scenario.01</t>
  </si>
  <si>
    <t>M-TIP51.Test.01.Scenario.02</t>
  </si>
  <si>
    <t>M-TIP51.Test.02.Scenario.02f</t>
  </si>
  <si>
    <t>MCC.351.Test.02.Scenario.01</t>
  </si>
  <si>
    <t>MCC.351.Test.03.Scenario.01</t>
  </si>
  <si>
    <t>MCC.352.Test.01.Scenario.01</t>
  </si>
  <si>
    <t>MCC.353.Test.01.Scenario.02</t>
  </si>
  <si>
    <t>MCC.355.Test.01.Scenario.01</t>
  </si>
  <si>
    <t>MCC.357.Test.01.Scenario.01</t>
  </si>
  <si>
    <t>MCC.371A.Test.03.Scenario.01</t>
  </si>
  <si>
    <t>MCC.372.Test.01.Scenario.01</t>
  </si>
  <si>
    <t>MCC.373.Test.02.Scenario.01</t>
  </si>
  <si>
    <t>MCC.374.Test.02.Scenario.01</t>
  </si>
  <si>
    <t>MP01.Test.01c.Scenario.01</t>
  </si>
  <si>
    <t>MP01.Test.04.Scenario.01</t>
  </si>
  <si>
    <t>MP13.Test.01b.Scenario.01</t>
  </si>
  <si>
    <t>MP16.Test.03.Scenario.01</t>
  </si>
  <si>
    <t>MP16.Test.03b.Scenario.01</t>
  </si>
  <si>
    <t>MP17.Test.01.Scenario.01e</t>
  </si>
  <si>
    <t>MP19.Test.01.Scenario.01</t>
  </si>
  <si>
    <t>MP4A.Test.02.Scenario.01</t>
  </si>
  <si>
    <t>MP50.Test.01.Scenario.01</t>
  </si>
  <si>
    <t>MP92.Test.01.Scenario.01</t>
  </si>
  <si>
    <t>MP93.Test.01.Scenario.01</t>
  </si>
  <si>
    <t>PPC.MAP.01.Test.04.Scenario.01</t>
  </si>
  <si>
    <t>PPC.MAP.03.Test.01.Scenario.01</t>
  </si>
  <si>
    <t>PPC.MAP.04.Test.03.Scenario.01</t>
  </si>
  <si>
    <t>PPC.MAP.04.Test.07.Scenario.01</t>
  </si>
  <si>
    <t>PPC.MAP.06.Test.03.Scenario.01</t>
  </si>
  <si>
    <t>PPC.MAP.07.Test.08.Scenario.01</t>
  </si>
  <si>
    <t>PPC.MAP.10.Test.01.Scenario.01</t>
  </si>
  <si>
    <t>PPC.MAP.40.Test.01.Scenario.01</t>
  </si>
  <si>
    <t>PPC.MAP.41.Test.01.Scenario.01</t>
  </si>
  <si>
    <t>PPC.MCD.01.Test.01.Scenario.01</t>
  </si>
  <si>
    <t>PPC.MCD.01.Test.04.Scenario.01</t>
  </si>
  <si>
    <t>PPC.MCD.01.Test.06.Scenario.01</t>
  </si>
  <si>
    <t>PPC.MCD.02.Test.01.Scenario.02e</t>
  </si>
  <si>
    <t>PPC.MCD.03.Test.07.Scenario.01</t>
  </si>
  <si>
    <t>PPC.MCD.06.Test.02.Scenario.01</t>
  </si>
  <si>
    <t>PPC.MCD.07.Test.02.Scenario.01</t>
  </si>
  <si>
    <t>PPC.MCD.10.Test.01.Scenario.01</t>
  </si>
  <si>
    <t>PPC.MCD.11.Test.03.Scenario.01</t>
  </si>
  <si>
    <t>PPC.MCD.12.Test.04.Scenario.01</t>
  </si>
  <si>
    <t>PPC.MCD.20.Test.01.Scenario.01</t>
  </si>
  <si>
    <t>PPC.MCD.4A.Test.02.Scenario.01</t>
  </si>
  <si>
    <t>PPC.MCD.50.Test.01.Scenario.01</t>
  </si>
  <si>
    <t>UM12.Test.02b.Scenario.01</t>
  </si>
  <si>
    <t>UM15.Test.01.Scenario.01</t>
  </si>
  <si>
    <t>UM16.Test.01.Scenario.01</t>
  </si>
  <si>
    <t>UM18.Test.02.Scenario.01</t>
  </si>
  <si>
    <t>UM20.Test.01.Scenario.01</t>
  </si>
  <si>
    <t>UM72.Test.02.Scenario.02</t>
  </si>
  <si>
    <t>UM91.Test.03.Scenario.01</t>
  </si>
  <si>
    <t>UM92.Test.01.Scenario.01</t>
  </si>
  <si>
    <t>UM94.Test.02.Scenario.01</t>
  </si>
  <si>
    <t>UM94.Test.05.Scenario.01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</si>
</sst>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8" formatCode="&quot;$&quot;#,##0.00_);[Red]\(&quot;$&quot;#,##0.00\)"/>
    <numFmt numFmtId="164" formatCode="m/d/yyyy;@"/>
    <numFmt numFmtId="165" formatCode="0.0%"/>
    <numFmt numFmtId="166" formatCode="0;[Red]0"/>
  </numFmts>
  <fonts count="21" x14ac:knownFonts="1">
    <font>
      <sz val="11"/>
      <color theme="1"/>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b/>
      <sz val="11"/>
      <color theme="0"/>
      <name val="Calibri"/>
      <family val="2"/>
      <scheme val="minor"/>
    </font>
    <font>
      <sz val="11"/>
      <name val="Calibri"/>
      <family val="2"/>
      <scheme val="minor"/>
    </font>
    <font>
      <b/>
      <sz val="10"/>
      <color theme="0"/>
      <name val="Arial"/>
      <family val="2"/>
    </font>
    <font>
      <sz val="11"/>
      <color theme="0"/>
      <name val="Calibri"/>
      <family val="2"/>
      <scheme val="minor"/>
    </font>
    <font>
      <sz val="26"/>
      <color theme="1"/>
      <name val="Calibri"/>
      <family val="2"/>
      <scheme val="minor"/>
    </font>
    <font>
      <b/>
      <sz val="11"/>
      <color rgb="FF9C0006"/>
      <name val="Calibri"/>
      <family val="2"/>
      <scheme val="minor"/>
    </font>
    <font>
      <b/>
      <sz val="11"/>
      <color rgb="FF9C6500"/>
      <name val="Calibri"/>
      <family val="2"/>
      <scheme val="minor"/>
    </font>
    <font>
      <b/>
      <sz val="11"/>
      <color rgb="FF006100"/>
      <name val="Calibri"/>
      <family val="2"/>
      <scheme val="minor"/>
    </font>
    <font>
      <sz val="11"/>
      <color theme="8" tint="-0.499984740745262"/>
      <name val="Calibri"/>
      <family val="2"/>
      <scheme val="minor"/>
    </font>
    <font>
      <b/>
      <u/>
      <sz val="11"/>
      <color rgb="FFC00000"/>
      <name val="Calibri"/>
      <family val="2"/>
      <scheme val="minor"/>
    </font>
    <font>
      <b/>
      <sz val="14"/>
      <color theme="1"/>
      <name val="Calibri"/>
      <family val="2"/>
      <scheme val="minor"/>
    </font>
    <font>
      <b/>
      <sz val="11"/>
      <color theme="0"/>
      <name val="Calibri"/>
      <family val="2"/>
      <scheme val="minor"/>
    </font>
    <font>
      <b/>
      <sz val="11"/>
      <color theme="0"/>
      <name val="Calibri"/>
      <family val="2"/>
      <scheme val="minor"/>
    </font>
    <font>
      <sz val="12"/>
      <color theme="1"/>
      <name val="Calibri"/>
      <family val="2"/>
      <scheme val="minor"/>
    </font>
    <font>
      <sz val="14"/>
      <color theme="1"/>
      <name val="Calibri"/>
      <family val="2"/>
      <scheme val="minor"/>
    </font>
    <font>
      <sz val="12"/>
      <color rgb="FF333333"/>
      <name val="Calibri"/>
      <family val="2"/>
      <scheme val="minor"/>
    </font>
    <font>
      <sz val="12"/>
      <color rgb="FFFF0000"/>
      <name val="Calibri"/>
      <family val="2"/>
      <scheme val="minor"/>
    </font>
  </fonts>
  <fills count="1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C00000"/>
        <bgColor indexed="64"/>
      </patternFill>
    </fill>
    <fill>
      <patternFill patternType="solid">
        <fgColor theme="0" tint="-0.499984740745262"/>
        <bgColor indexed="64"/>
      </patternFill>
    </fill>
    <fill>
      <patternFill patternType="solid">
        <fgColor theme="0" tint="-0.249977111117893"/>
        <bgColor indexed="64"/>
      </patternFill>
    </fill>
    <fill>
      <patternFill patternType="solid">
        <fgColor theme="8" tint="0.79998168889431442"/>
        <bgColor indexed="64"/>
      </patternFill>
    </fill>
    <fill>
      <patternFill patternType="solid">
        <fgColor theme="0" tint="-0.14999847407452621"/>
        <bgColor indexed="64"/>
      </patternFill>
    </fill>
    <fill>
      <patternFill patternType="solid">
        <fgColor theme="4" tint="-0.499984740745262"/>
        <bgColor indexed="64"/>
      </patternFill>
    </fill>
    <fill>
      <patternFill patternType="solid">
        <fgColor theme="4" tint="0.39997558519241921"/>
        <bgColor indexed="64"/>
      </patternFill>
    </fill>
    <fill>
      <patternFill patternType="solid">
        <fgColor theme="0"/>
        <bgColor indexed="64"/>
      </patternFill>
    </fill>
  </fills>
  <borders count="8">
    <border>
      <left/>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top style="thin">
        <color theme="4"/>
      </top>
      <bottom/>
      <diagonal/>
    </border>
    <border>
      <left/>
      <right style="thin">
        <color theme="4"/>
      </right>
      <top style="thin">
        <color theme="4"/>
      </top>
      <bottom/>
      <diagonal/>
    </border>
  </borders>
  <cellStyleXfs count="4">
    <xf numFmtId="0" fontId="0" fillId="0" borderId="0"/>
    <xf numFmtId="0" fontId="1" fillId="2" borderId="0" applyNumberFormat="0" applyBorder="0" applyAlignment="0" applyProtection="0"/>
    <xf numFmtId="0" fontId="2" fillId="3" borderId="0" applyNumberFormat="0" applyBorder="0" applyAlignment="0" applyProtection="0"/>
    <xf numFmtId="0" fontId="3" fillId="4" borderId="0" applyNumberFormat="0" applyBorder="0" applyAlignment="0" applyProtection="0"/>
  </cellStyleXfs>
  <cellXfs count="87">
    <xf numFmtId="0" fontId="0" fillId="0" borderId="0" xfId="0"/>
    <xf numFmtId="0" fontId="1" fillId="2" borderId="0" xfId="1"/>
    <xf numFmtId="0" fontId="2" fillId="3" borderId="0" xfId="2"/>
    <xf numFmtId="0" fontId="3" fillId="4" borderId="0" xfId="3"/>
    <xf numFmtId="0" fontId="4" fillId="5" borderId="0" xfId="0" applyFont="1" applyFill="1"/>
    <xf numFmtId="0" fontId="0" fillId="0" borderId="0" xfId="0" applyAlignment="1">
      <alignment wrapText="1"/>
    </xf>
    <xf numFmtId="0" fontId="4" fillId="5" borderId="0" xfId="0" applyFont="1" applyFill="1" applyAlignment="1">
      <alignment wrapText="1"/>
    </xf>
    <xf numFmtId="0" fontId="5" fillId="0" borderId="0" xfId="0" applyFont="1" applyFill="1" applyAlignment="1">
      <alignment wrapText="1"/>
    </xf>
    <xf numFmtId="0" fontId="0" fillId="0" borderId="0" xfId="0" applyFill="1" applyAlignment="1">
      <alignment wrapText="1"/>
    </xf>
    <xf numFmtId="0" fontId="5" fillId="0" borderId="0" xfId="0" applyFont="1" applyFill="1"/>
    <xf numFmtId="14" fontId="0" fillId="0" borderId="0" xfId="0" applyNumberFormat="1"/>
    <xf numFmtId="2" fontId="0" fillId="0" borderId="0" xfId="0" applyNumberFormat="1"/>
    <xf numFmtId="0" fontId="0" fillId="0" borderId="0" xfId="0" applyAlignment="1">
      <alignment horizontal="center" vertical="center"/>
    </xf>
    <xf numFmtId="0" fontId="0" fillId="0" borderId="0" xfId="0" applyAlignment="1"/>
    <xf numFmtId="0" fontId="6" fillId="5" borderId="1" xfId="0" applyFont="1" applyFill="1" applyBorder="1" applyAlignment="1">
      <alignment horizontal="left" vertical="center" wrapText="1"/>
    </xf>
    <xf numFmtId="0" fontId="0" fillId="0" borderId="2" xfId="0" applyBorder="1"/>
    <xf numFmtId="0" fontId="6" fillId="5" borderId="0" xfId="0" applyFont="1" applyFill="1" applyBorder="1" applyAlignment="1">
      <alignment horizontal="left" vertical="center" wrapText="1"/>
    </xf>
    <xf numFmtId="0" fontId="6" fillId="5" borderId="2" xfId="0" applyFont="1" applyFill="1" applyBorder="1" applyAlignment="1">
      <alignment horizontal="left" vertical="center" wrapText="1"/>
    </xf>
    <xf numFmtId="0" fontId="0" fillId="5" borderId="2" xfId="0" applyFill="1" applyBorder="1"/>
    <xf numFmtId="164" fontId="0" fillId="0" borderId="0" xfId="0" applyNumberFormat="1"/>
    <xf numFmtId="0" fontId="6" fillId="6" borderId="1" xfId="0" applyFont="1" applyFill="1" applyBorder="1" applyAlignment="1">
      <alignment horizontal="left" vertical="center" wrapText="1"/>
    </xf>
    <xf numFmtId="0" fontId="6" fillId="6" borderId="2" xfId="0" applyFont="1" applyFill="1" applyBorder="1" applyAlignment="1">
      <alignment horizontal="left" vertical="center" wrapText="1"/>
    </xf>
    <xf numFmtId="164" fontId="0" fillId="0" borderId="0" xfId="0" applyNumberFormat="1" applyAlignment="1">
      <alignment horizontal="left"/>
    </xf>
    <xf numFmtId="0" fontId="0" fillId="0" borderId="3" xfId="0" applyFont="1" applyBorder="1"/>
    <xf numFmtId="0" fontId="0" fillId="0" borderId="0" xfId="0" applyAlignment="1">
      <alignment horizontal="left"/>
    </xf>
    <xf numFmtId="0" fontId="6" fillId="6" borderId="4" xfId="0" applyFont="1" applyFill="1" applyBorder="1" applyAlignment="1">
      <alignment horizontal="center" vertical="top" wrapText="1"/>
    </xf>
    <xf numFmtId="0" fontId="11" fillId="2" borderId="4" xfId="1" applyFont="1" applyFill="1" applyBorder="1" applyAlignment="1">
      <alignment horizontal="left" vertical="top" wrapText="1"/>
    </xf>
    <xf numFmtId="0" fontId="9" fillId="3" borderId="4" xfId="2" applyFont="1" applyFill="1" applyBorder="1" applyAlignment="1">
      <alignment horizontal="left" vertical="top" wrapText="1"/>
    </xf>
    <xf numFmtId="0" fontId="10" fillId="4" borderId="4" xfId="3" applyFont="1" applyFill="1" applyBorder="1" applyAlignment="1">
      <alignment horizontal="left" vertical="top" wrapText="1"/>
    </xf>
    <xf numFmtId="0" fontId="6" fillId="6" borderId="5" xfId="0" applyFont="1" applyFill="1" applyBorder="1" applyAlignment="1">
      <alignment horizontal="left" vertical="top" wrapText="1"/>
    </xf>
    <xf numFmtId="0" fontId="0" fillId="0" borderId="4" xfId="0" applyFont="1" applyBorder="1"/>
    <xf numFmtId="0" fontId="1" fillId="2" borderId="4" xfId="1" applyFont="1" applyFill="1" applyBorder="1" applyAlignment="1">
      <alignment horizontal="left"/>
    </xf>
    <xf numFmtId="0" fontId="2" fillId="3" borderId="4" xfId="2" applyFont="1" applyFill="1" applyBorder="1" applyAlignment="1">
      <alignment horizontal="left"/>
    </xf>
    <xf numFmtId="0" fontId="3" fillId="4" borderId="4" xfId="3" applyFont="1" applyFill="1" applyBorder="1" applyAlignment="1">
      <alignment horizontal="left"/>
    </xf>
    <xf numFmtId="0" fontId="0" fillId="0" borderId="5" xfId="0" applyFont="1" applyBorder="1" applyAlignment="1">
      <alignment horizontal="left"/>
    </xf>
    <xf numFmtId="0" fontId="1" fillId="2" borderId="3" xfId="1" applyFont="1" applyFill="1" applyBorder="1" applyAlignment="1">
      <alignment horizontal="left"/>
    </xf>
    <xf numFmtId="0" fontId="2" fillId="3" borderId="3" xfId="2" applyFont="1" applyFill="1" applyBorder="1" applyAlignment="1">
      <alignment horizontal="left"/>
    </xf>
    <xf numFmtId="0" fontId="3" fillId="4" borderId="3" xfId="3" applyFont="1" applyFill="1" applyBorder="1" applyAlignment="1">
      <alignment horizontal="left"/>
    </xf>
    <xf numFmtId="0" fontId="0" fillId="0" borderId="2" xfId="0" applyFont="1" applyBorder="1" applyAlignment="1">
      <alignment horizontal="left"/>
    </xf>
    <xf numFmtId="0" fontId="7" fillId="0" borderId="0" xfId="0" applyFont="1"/>
    <xf numFmtId="165" fontId="0" fillId="0" borderId="0" xfId="0" applyNumberFormat="1" applyAlignment="1">
      <alignment horizontal="left"/>
    </xf>
    <xf numFmtId="1" fontId="0" fillId="0" borderId="0" xfId="0" applyNumberFormat="1" applyAlignment="1">
      <alignment horizontal="left"/>
    </xf>
    <xf numFmtId="0" fontId="0" fillId="0" borderId="2" xfId="0" applyFill="1" applyBorder="1" applyProtection="1">
      <protection locked="0"/>
    </xf>
    <xf numFmtId="0" fontId="0" fillId="0" borderId="2" xfId="0" applyBorder="1" applyProtection="1">
      <protection locked="0"/>
    </xf>
    <xf numFmtId="164" fontId="0" fillId="0" borderId="2" xfId="0" applyNumberFormat="1" applyBorder="1" applyProtection="1">
      <protection locked="0"/>
    </xf>
    <xf numFmtId="14" fontId="0" fillId="0" borderId="2" xfId="0" applyNumberFormat="1" applyFill="1" applyBorder="1" applyProtection="1">
      <protection locked="0"/>
    </xf>
    <xf numFmtId="164" fontId="0" fillId="9" borderId="2" xfId="0" applyNumberFormat="1" applyFill="1" applyBorder="1"/>
    <xf numFmtId="0" fontId="13" fillId="0" borderId="0" xfId="0" applyFont="1" applyAlignment="1">
      <alignment wrapText="1"/>
    </xf>
    <xf numFmtId="0" fontId="0" fillId="0" borderId="0" xfId="0" applyAlignment="1">
      <alignment vertical="top"/>
    </xf>
    <xf numFmtId="0" fontId="0" fillId="9" borderId="0" xfId="0" applyFill="1" applyAlignment="1">
      <alignment wrapText="1"/>
    </xf>
    <xf numFmtId="0" fontId="14" fillId="9" borderId="0" xfId="0" applyFont="1" applyFill="1" applyAlignment="1">
      <alignment wrapText="1"/>
    </xf>
    <xf numFmtId="0" fontId="4" fillId="10" borderId="2" xfId="0" applyFont="1" applyFill="1" applyBorder="1" applyAlignment="1">
      <alignment horizontal="center"/>
    </xf>
    <xf numFmtId="0" fontId="1" fillId="2" borderId="0" xfId="1" applyProtection="1">
      <protection locked="0"/>
    </xf>
    <xf numFmtId="165" fontId="1" fillId="2" borderId="0" xfId="1" applyNumberFormat="1" applyProtection="1">
      <protection locked="0"/>
    </xf>
    <xf numFmtId="0" fontId="5" fillId="7" borderId="0" xfId="2" applyFont="1" applyFill="1" applyProtection="1">
      <protection locked="0"/>
    </xf>
    <xf numFmtId="165" fontId="5" fillId="7" borderId="0" xfId="2" applyNumberFormat="1" applyFont="1" applyFill="1" applyProtection="1">
      <protection locked="0"/>
    </xf>
    <xf numFmtId="0" fontId="12" fillId="8" borderId="0" xfId="1" applyFont="1" applyFill="1" applyAlignment="1" applyProtection="1">
      <alignment wrapText="1"/>
      <protection locked="0"/>
    </xf>
    <xf numFmtId="1" fontId="12" fillId="8" borderId="0" xfId="1" applyNumberFormat="1" applyFont="1" applyFill="1" applyAlignment="1" applyProtection="1">
      <alignment horizontal="left"/>
      <protection locked="0"/>
    </xf>
    <xf numFmtId="1" fontId="5" fillId="7" borderId="0" xfId="2" applyNumberFormat="1" applyFont="1" applyFill="1" applyAlignment="1" applyProtection="1">
      <alignment horizontal="left"/>
      <protection locked="0"/>
    </xf>
    <xf numFmtId="0" fontId="0" fillId="0" borderId="0" xfId="0" applyProtection="1">
      <protection locked="0"/>
    </xf>
    <xf numFmtId="0" fontId="0" fillId="0" borderId="0" xfId="0" applyAlignment="1" applyProtection="1">
      <alignment horizontal="center" vertical="center"/>
      <protection locked="0"/>
    </xf>
    <xf numFmtId="8" fontId="0" fillId="0" borderId="0" xfId="0" applyNumberFormat="1"/>
    <xf numFmtId="0" fontId="15" fillId="5" borderId="0" xfId="0" applyFont="1" applyFill="1"/>
    <xf numFmtId="0" fontId="4" fillId="5" borderId="6" xfId="0" applyFont="1" applyFill="1" applyBorder="1"/>
    <xf numFmtId="0" fontId="4" fillId="5" borderId="7" xfId="0" applyFont="1" applyFill="1" applyBorder="1"/>
    <xf numFmtId="1" fontId="0" fillId="0" borderId="0" xfId="0" applyNumberFormat="1"/>
    <xf numFmtId="8" fontId="0" fillId="0" borderId="0" xfId="0" applyNumberFormat="1" applyAlignment="1">
      <alignment wrapText="1"/>
    </xf>
    <xf numFmtId="49" fontId="0" fillId="0" borderId="0" xfId="0" applyNumberFormat="1" applyAlignment="1">
      <alignment wrapText="1"/>
    </xf>
    <xf numFmtId="166" fontId="0" fillId="0" borderId="0" xfId="0" applyNumberFormat="1"/>
    <xf numFmtId="0" fontId="16" fillId="5" borderId="0" xfId="0" applyFont="1" applyFill="1"/>
    <xf numFmtId="8" fontId="5" fillId="0" borderId="0" xfId="0" applyNumberFormat="1" applyFont="1" applyFill="1"/>
    <xf numFmtId="0" fontId="0" fillId="11" borderId="0" xfId="0" applyFill="1"/>
    <xf numFmtId="0" fontId="17" fillId="0" borderId="0" xfId="0" applyFont="1"/>
    <xf numFmtId="0" fontId="17" fillId="0" borderId="0" xfId="0" applyFont="1" applyAlignment="1">
      <alignment wrapText="1"/>
    </xf>
    <xf numFmtId="8" fontId="17" fillId="0" borderId="0" xfId="0" applyNumberFormat="1" applyFont="1"/>
    <xf numFmtId="14" fontId="17" fillId="0" borderId="0" xfId="0" applyNumberFormat="1" applyFont="1"/>
    <xf numFmtId="0" fontId="18" fillId="0" borderId="0" xfId="0" applyFont="1"/>
    <xf numFmtId="0" fontId="18" fillId="0" borderId="0" xfId="0" applyFont="1" applyAlignment="1">
      <alignment wrapText="1"/>
    </xf>
    <xf numFmtId="0" fontId="18" fillId="0" borderId="2" xfId="0" applyFont="1" applyBorder="1" applyAlignment="1">
      <alignment wrapText="1"/>
    </xf>
    <xf numFmtId="8" fontId="18" fillId="0" borderId="0" xfId="0" applyNumberFormat="1" applyFont="1"/>
    <xf numFmtId="14" fontId="18" fillId="0" borderId="0" xfId="0" applyNumberFormat="1" applyFont="1"/>
    <xf numFmtId="0" fontId="19" fillId="0" borderId="0" xfId="0" applyFont="1" applyAlignment="1">
      <alignment vertical="center" wrapText="1"/>
    </xf>
    <xf numFmtId="0" fontId="17" fillId="0" borderId="0" xfId="0" applyFont="1" applyAlignment="1">
      <alignment vertical="top" wrapText="1"/>
    </xf>
    <xf numFmtId="0" fontId="20" fillId="0" borderId="0" xfId="0" applyFont="1"/>
    <xf numFmtId="49" fontId="17" fillId="0" borderId="0" xfId="0" applyNumberFormat="1" applyFont="1"/>
    <xf numFmtId="0" fontId="17" fillId="12" borderId="0" xfId="0" applyFont="1" applyFill="1"/>
    <xf numFmtId="0" fontId="8" fillId="0" borderId="0" xfId="0" applyFont="1" applyAlignment="1">
      <alignment horizontal="center" vertical="center"/>
    </xf>
  </cellXfs>
  <cellStyles count="4">
    <cellStyle name="Bad" xfId="2" builtinId="27"/>
    <cellStyle name="Good" xfId="1" builtinId="26"/>
    <cellStyle name="Neutral" xfId="3" builtinId="28"/>
    <cellStyle name="Normal" xfId="0" builtinId="0"/>
  </cellStyles>
  <dxfs count="178">
    <dxf>
      <alignment horizontal="general" vertical="bottom" textRotation="0" wrapText="1" indent="0" justifyLastLine="0" shrinkToFit="0" readingOrder="0"/>
    </dxf>
    <dxf>
      <font>
        <b/>
        <i val="0"/>
        <strike val="0"/>
        <condense val="0"/>
        <extend val="0"/>
        <outline val="0"/>
        <shadow val="0"/>
        <u val="none"/>
        <vertAlign val="baseline"/>
        <sz val="11"/>
        <color theme="0"/>
        <name val="Calibri"/>
        <scheme val="minor"/>
      </font>
      <fill>
        <patternFill patternType="solid">
          <fgColor indexed="64"/>
          <bgColor rgb="FFC00000"/>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9" tint="-0.499984740745262"/>
      </font>
      <fill>
        <patternFill>
          <bgColor theme="9" tint="0.59996337778862885"/>
        </patternFill>
      </fill>
    </dxf>
    <dxf>
      <font>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color theme="7" tint="-0.499984740745262"/>
      </font>
      <fill>
        <patternFill>
          <bgColor theme="7" tint="0.59996337778862885"/>
        </patternFill>
      </fill>
    </dxf>
    <dxf>
      <font>
        <b val="0"/>
        <i val="0"/>
        <color rgb="FFC00000"/>
      </font>
      <fill>
        <patternFill>
          <bgColor rgb="FFFFCCCC"/>
        </patternFill>
      </fill>
    </dxf>
    <dxf>
      <alignment horizontal="general" vertical="bottom" textRotation="0" wrapText="1" indent="0" justifyLastLine="0" shrinkToFit="0" readingOrder="0"/>
    </dxf>
    <dxf>
      <font>
        <b/>
        <i val="0"/>
        <strike val="0"/>
        <condense val="0"/>
        <extend val="0"/>
        <outline val="0"/>
        <shadow val="0"/>
        <u val="none"/>
        <vertAlign val="baseline"/>
        <sz val="11"/>
        <color theme="0"/>
        <name val="Calibri"/>
        <scheme val="minor"/>
      </font>
      <fill>
        <patternFill patternType="solid">
          <fgColor indexed="64"/>
          <bgColor rgb="FFC00000"/>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9" tint="-0.499984740745262"/>
      </font>
      <fill>
        <patternFill>
          <bgColor theme="9" tint="0.59996337778862885"/>
        </patternFill>
      </fill>
    </dxf>
    <dxf>
      <font>
        <color theme="7" tint="-0.499984740745262"/>
      </font>
      <fill>
        <patternFill>
          <bgColor theme="7" tint="0.59996337778862885"/>
        </patternFill>
      </fill>
    </dxf>
    <dxf>
      <font>
        <b val="0"/>
        <i val="0"/>
        <color rgb="FFC00000"/>
      </font>
      <fill>
        <patternFill>
          <bgColor rgb="FFFFCCCC"/>
        </patternFill>
      </fill>
    </dxf>
    <dxf>
      <alignment horizontal="general" vertical="bottom" textRotation="0" wrapText="1" indent="0" justifyLastLine="0" shrinkToFit="0" readingOrder="0"/>
    </dxf>
    <dxf>
      <font>
        <b/>
        <i val="0"/>
        <strike val="0"/>
        <condense val="0"/>
        <extend val="0"/>
        <outline val="0"/>
        <shadow val="0"/>
        <u val="none"/>
        <vertAlign val="baseline"/>
        <sz val="11"/>
        <color theme="0"/>
        <name val="Calibri"/>
        <scheme val="minor"/>
      </font>
      <fill>
        <patternFill patternType="solid">
          <fgColor indexed="64"/>
          <bgColor rgb="FFC00000"/>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9" tint="-0.499984740745262"/>
      </font>
      <fill>
        <patternFill>
          <bgColor theme="9" tint="0.59996337778862885"/>
        </patternFill>
      </fill>
    </dxf>
    <dxf>
      <font>
        <color theme="7" tint="-0.499984740745262"/>
      </font>
      <fill>
        <patternFill>
          <bgColor theme="7" tint="0.59996337778862885"/>
        </patternFill>
      </fill>
    </dxf>
    <dxf>
      <font>
        <b val="0"/>
        <i val="0"/>
        <color rgb="FFC00000"/>
      </font>
      <fill>
        <patternFill>
          <bgColor rgb="FFFFCCCC"/>
        </patternFill>
      </fill>
    </dxf>
    <dxf>
      <alignment horizontal="general" vertical="bottom" textRotation="0" wrapText="1" indent="0" justifyLastLine="0" shrinkToFit="0" readingOrder="0"/>
    </dxf>
    <dxf>
      <font>
        <b/>
        <i val="0"/>
        <strike val="0"/>
        <condense val="0"/>
        <extend val="0"/>
        <outline val="0"/>
        <shadow val="0"/>
        <u val="none"/>
        <vertAlign val="baseline"/>
        <sz val="11"/>
        <color theme="0"/>
        <name val="Calibri"/>
        <scheme val="minor"/>
      </font>
      <fill>
        <patternFill patternType="solid">
          <fgColor indexed="64"/>
          <bgColor rgb="FFC00000"/>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9" tint="-0.499984740745262"/>
      </font>
      <fill>
        <patternFill>
          <bgColor theme="9" tint="0.59996337778862885"/>
        </patternFill>
      </fill>
    </dxf>
    <dxf>
      <font>
        <color theme="7" tint="-0.499984740745262"/>
      </font>
      <fill>
        <patternFill>
          <bgColor theme="7" tint="0.59996337778862885"/>
        </patternFill>
      </fill>
    </dxf>
    <dxf>
      <font>
        <b val="0"/>
        <i val="0"/>
        <color rgb="FFC00000"/>
      </font>
      <fill>
        <patternFill>
          <bgColor rgb="FFFFCCCC"/>
        </patternFill>
      </fill>
    </dxf>
    <dxf>
      <font>
        <b/>
        <i val="0"/>
        <strike val="0"/>
        <condense val="0"/>
        <extend val="0"/>
        <outline val="0"/>
        <shadow val="0"/>
        <u val="none"/>
        <vertAlign val="baseline"/>
        <sz val="11"/>
        <color theme="0"/>
        <name val="Calibri"/>
        <scheme val="minor"/>
      </font>
      <fill>
        <patternFill patternType="solid">
          <fgColor indexed="64"/>
          <bgColor rgb="FFC00000"/>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9" tint="-0.499984740745262"/>
      </font>
      <fill>
        <patternFill>
          <bgColor theme="9" tint="0.59996337778862885"/>
        </patternFill>
      </fill>
    </dxf>
    <dxf>
      <font>
        <color theme="7" tint="-0.499984740745262"/>
      </font>
      <fill>
        <patternFill>
          <bgColor theme="7" tint="0.59996337778862885"/>
        </patternFill>
      </fill>
    </dxf>
    <dxf>
      <font>
        <b val="0"/>
        <i val="0"/>
        <color rgb="FFC00000"/>
      </font>
      <fill>
        <patternFill>
          <bgColor rgb="FFFFCCCC"/>
        </patternFill>
      </fill>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b val="0"/>
        <i val="0"/>
        <strike val="0"/>
        <condense val="0"/>
        <extend val="0"/>
        <outline val="0"/>
        <shadow val="0"/>
        <u val="none"/>
        <vertAlign val="baseline"/>
        <sz val="12"/>
        <color rgb="FF333333"/>
        <name val="Calibri"/>
        <family val="2"/>
        <scheme val="minor"/>
      </font>
      <alignment horizontal="general" vertical="center" textRotation="0" wrapText="1" indent="0" justifyLastLine="0" shrinkToFit="0" readingOrder="0"/>
    </dxf>
    <dxf>
      <font>
        <strike val="0"/>
        <outline val="0"/>
        <shadow val="0"/>
        <u val="none"/>
        <vertAlign val="baseline"/>
        <sz val="12"/>
        <name val="Calibri"/>
        <family val="2"/>
        <scheme val="minor"/>
      </font>
    </dxf>
    <dxf>
      <font>
        <b/>
        <i val="0"/>
        <strike val="0"/>
        <condense val="0"/>
        <extend val="0"/>
        <outline val="0"/>
        <shadow val="0"/>
        <u val="none"/>
        <vertAlign val="baseline"/>
        <sz val="11"/>
        <color theme="0"/>
        <name val="Calibri"/>
        <scheme val="minor"/>
      </font>
      <fill>
        <patternFill patternType="solid">
          <fgColor indexed="64"/>
          <bgColor rgb="FFC00000"/>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alignment horizontal="general" vertical="bottom" textRotation="0" wrapText="1" indent="0" justifyLastLine="0" shrinkToFit="0" readingOrder="0"/>
    </dxf>
    <dxf>
      <font>
        <b/>
        <i val="0"/>
        <strike val="0"/>
        <condense val="0"/>
        <extend val="0"/>
        <outline val="0"/>
        <shadow val="0"/>
        <u val="none"/>
        <vertAlign val="baseline"/>
        <sz val="11"/>
        <color theme="0"/>
        <name val="Calibri"/>
        <scheme val="minor"/>
      </font>
      <fill>
        <patternFill patternType="solid">
          <fgColor indexed="64"/>
          <bgColor rgb="FFC00000"/>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9" tint="-0.499984740745262"/>
      </font>
      <fill>
        <patternFill>
          <bgColor theme="9" tint="0.59996337778862885"/>
        </patternFill>
      </fill>
    </dxf>
    <dxf>
      <font>
        <color theme="7" tint="-0.499984740745262"/>
      </font>
      <fill>
        <patternFill>
          <bgColor theme="7" tint="0.59996337778862885"/>
        </patternFill>
      </fill>
    </dxf>
    <dxf>
      <font>
        <b val="0"/>
        <i val="0"/>
        <color rgb="FFC00000"/>
      </font>
      <fill>
        <patternFill>
          <bgColor rgb="FFFFCCCC"/>
        </patternFill>
      </fill>
    </dxf>
    <dxf>
      <alignment horizontal="general" vertical="bottom" textRotation="0" wrapText="1" indent="0" justifyLastLine="0" shrinkToFit="0" readingOrder="0"/>
    </dxf>
    <dxf>
      <font>
        <b/>
        <i val="0"/>
        <strike val="0"/>
        <condense val="0"/>
        <extend val="0"/>
        <outline val="0"/>
        <shadow val="0"/>
        <u val="none"/>
        <vertAlign val="baseline"/>
        <sz val="11"/>
        <color theme="0"/>
        <name val="Calibri"/>
        <scheme val="minor"/>
      </font>
      <fill>
        <patternFill patternType="solid">
          <fgColor indexed="64"/>
          <bgColor rgb="FFC00000"/>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9" tint="-0.499984740745262"/>
      </font>
      <fill>
        <patternFill>
          <bgColor theme="9" tint="0.59996337778862885"/>
        </patternFill>
      </fill>
    </dxf>
    <dxf>
      <font>
        <color theme="7" tint="-0.499984740745262"/>
      </font>
      <fill>
        <patternFill>
          <bgColor theme="7" tint="0.59996337778862885"/>
        </patternFill>
      </fill>
    </dxf>
    <dxf>
      <font>
        <b val="0"/>
        <i val="0"/>
        <color rgb="FFC00000"/>
      </font>
      <fill>
        <patternFill>
          <bgColor rgb="FFFFCCCC"/>
        </patternFill>
      </fill>
    </dxf>
    <dxf>
      <alignment horizontal="general" vertical="bottom" textRotation="0" wrapText="1" indent="0" justifyLastLine="0" shrinkToFit="0" readingOrder="0"/>
    </dxf>
    <dxf>
      <font>
        <b/>
        <i val="0"/>
        <strike val="0"/>
        <condense val="0"/>
        <extend val="0"/>
        <outline val="0"/>
        <shadow val="0"/>
        <u val="none"/>
        <vertAlign val="baseline"/>
        <sz val="11"/>
        <color theme="0"/>
        <name val="Calibri"/>
        <scheme val="minor"/>
      </font>
      <fill>
        <patternFill patternType="solid">
          <fgColor indexed="64"/>
          <bgColor rgb="FFC00000"/>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9" tint="-0.499984740745262"/>
      </font>
      <fill>
        <patternFill>
          <bgColor theme="9" tint="0.59996337778862885"/>
        </patternFill>
      </fill>
    </dxf>
    <dxf>
      <font>
        <color theme="7" tint="-0.499984740745262"/>
      </font>
      <fill>
        <patternFill>
          <bgColor theme="7" tint="0.59996337778862885"/>
        </patternFill>
      </fill>
    </dxf>
    <dxf>
      <font>
        <b val="0"/>
        <i val="0"/>
        <color rgb="FFC00000"/>
      </font>
      <fill>
        <patternFill>
          <bgColor rgb="FFFFCCCC"/>
        </patternFill>
      </fill>
    </dxf>
    <dxf>
      <font>
        <strike val="0"/>
        <outline val="0"/>
        <shadow val="0"/>
        <u val="none"/>
        <vertAlign val="baseline"/>
        <sz val="14"/>
        <color theme="1"/>
        <name val="Calibri"/>
        <family val="2"/>
        <scheme val="minor"/>
      </font>
    </dxf>
    <dxf>
      <font>
        <strike val="0"/>
        <outline val="0"/>
        <shadow val="0"/>
        <u val="none"/>
        <vertAlign val="baseline"/>
        <sz val="14"/>
        <color theme="1"/>
        <name val="Calibri"/>
        <family val="2"/>
        <scheme val="minor"/>
      </font>
    </dxf>
    <dxf>
      <font>
        <strike val="0"/>
        <outline val="0"/>
        <shadow val="0"/>
        <u val="none"/>
        <vertAlign val="baseline"/>
        <sz val="14"/>
        <color theme="1"/>
        <name val="Calibri"/>
        <family val="2"/>
        <scheme val="minor"/>
      </font>
    </dxf>
    <dxf>
      <font>
        <strike val="0"/>
        <outline val="0"/>
        <shadow val="0"/>
        <u val="none"/>
        <vertAlign val="baseline"/>
        <sz val="14"/>
        <color theme="1"/>
        <name val="Calibri"/>
        <family val="2"/>
        <scheme val="minor"/>
      </font>
    </dxf>
    <dxf>
      <font>
        <strike val="0"/>
        <outline val="0"/>
        <shadow val="0"/>
        <u val="none"/>
        <vertAlign val="baseline"/>
        <sz val="14"/>
        <color theme="1"/>
        <name val="Calibri"/>
        <family val="2"/>
        <scheme val="minor"/>
      </font>
    </dxf>
    <dxf>
      <font>
        <strike val="0"/>
        <outline val="0"/>
        <shadow val="0"/>
        <u val="none"/>
        <vertAlign val="baseline"/>
        <sz val="14"/>
        <color theme="1"/>
        <name val="Calibri"/>
        <family val="2"/>
        <scheme val="minor"/>
      </font>
    </dxf>
    <dxf>
      <font>
        <strike val="0"/>
        <outline val="0"/>
        <shadow val="0"/>
        <u val="none"/>
        <vertAlign val="baseline"/>
        <sz val="14"/>
        <color theme="1"/>
        <name val="Calibri"/>
        <family val="2"/>
        <scheme val="minor"/>
      </font>
    </dxf>
    <dxf>
      <font>
        <strike val="0"/>
        <outline val="0"/>
        <shadow val="0"/>
        <u val="none"/>
        <vertAlign val="baseline"/>
        <sz val="14"/>
        <color theme="1"/>
        <name val="Calibri"/>
        <family val="2"/>
        <scheme val="minor"/>
      </font>
    </dxf>
    <dxf>
      <font>
        <strike val="0"/>
        <outline val="0"/>
        <shadow val="0"/>
        <u val="none"/>
        <vertAlign val="baseline"/>
        <sz val="14"/>
        <color theme="1"/>
        <name val="Calibri"/>
        <family val="2"/>
        <scheme val="minor"/>
      </font>
    </dxf>
    <dxf>
      <font>
        <strike val="0"/>
        <outline val="0"/>
        <shadow val="0"/>
        <u val="none"/>
        <vertAlign val="baseline"/>
        <sz val="14"/>
        <color theme="1"/>
        <name val="Calibri"/>
        <family val="2"/>
        <scheme val="minor"/>
      </font>
    </dxf>
    <dxf>
      <font>
        <strike val="0"/>
        <outline val="0"/>
        <shadow val="0"/>
        <u val="none"/>
        <vertAlign val="baseline"/>
        <sz val="14"/>
        <color theme="1"/>
        <name val="Calibri"/>
        <family val="2"/>
        <scheme val="minor"/>
      </font>
      <alignment horizontal="general" vertical="bottom" textRotation="0" wrapText="1" indent="0" justifyLastLine="0" shrinkToFit="0" readingOrder="0"/>
    </dxf>
    <dxf>
      <font>
        <strike val="0"/>
        <outline val="0"/>
        <shadow val="0"/>
        <u val="none"/>
        <vertAlign val="baseline"/>
        <sz val="14"/>
        <color theme="1"/>
        <name val="Calibri"/>
        <family val="2"/>
        <scheme val="minor"/>
      </font>
    </dxf>
    <dxf>
      <font>
        <strike val="0"/>
        <outline val="0"/>
        <shadow val="0"/>
        <u val="none"/>
        <vertAlign val="baseline"/>
        <sz val="14"/>
        <color theme="1"/>
        <name val="Calibri"/>
        <family val="2"/>
        <scheme val="minor"/>
      </font>
    </dxf>
    <dxf>
      <font>
        <strike val="0"/>
        <outline val="0"/>
        <shadow val="0"/>
        <u val="none"/>
        <vertAlign val="baseline"/>
        <sz val="14"/>
        <color theme="1"/>
        <name val="Calibri"/>
        <family val="2"/>
        <scheme val="minor"/>
      </font>
    </dxf>
    <dxf>
      <font>
        <b/>
        <i val="0"/>
        <strike val="0"/>
        <condense val="0"/>
        <extend val="0"/>
        <outline val="0"/>
        <shadow val="0"/>
        <u val="none"/>
        <vertAlign val="baseline"/>
        <sz val="11"/>
        <color theme="0"/>
        <name val="Calibri"/>
        <scheme val="minor"/>
      </font>
      <fill>
        <patternFill patternType="solid">
          <fgColor indexed="64"/>
          <bgColor rgb="FFC00000"/>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9" tint="-0.499984740745262"/>
      </font>
      <fill>
        <patternFill>
          <bgColor theme="9" tint="0.59996337778862885"/>
        </patternFill>
      </fill>
    </dxf>
    <dxf>
      <font>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color theme="7" tint="-0.499984740745262"/>
      </font>
      <fill>
        <patternFill>
          <bgColor theme="7" tint="0.59996337778862885"/>
        </patternFill>
      </fill>
    </dxf>
    <dxf>
      <font>
        <b val="0"/>
        <i val="0"/>
        <color rgb="FFC00000"/>
      </font>
      <fill>
        <patternFill>
          <bgColor rgb="FFFFCCCC"/>
        </patternFill>
      </fill>
    </dxf>
    <dxf>
      <alignment horizontal="general" vertical="bottom" textRotation="0" wrapText="1" indent="0" justifyLastLine="0" shrinkToFit="0" readingOrder="0"/>
    </dxf>
    <dxf>
      <font>
        <b/>
        <i val="0"/>
        <strike val="0"/>
        <condense val="0"/>
        <extend val="0"/>
        <outline val="0"/>
        <shadow val="0"/>
        <u val="none"/>
        <vertAlign val="baseline"/>
        <sz val="11"/>
        <color theme="0"/>
        <name val="Calibri"/>
        <scheme val="minor"/>
      </font>
      <fill>
        <patternFill patternType="solid">
          <fgColor indexed="64"/>
          <bgColor rgb="FFC00000"/>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9" tint="-0.499984740745262"/>
      </font>
      <fill>
        <patternFill>
          <bgColor theme="9" tint="0.59996337778862885"/>
        </patternFill>
      </fill>
    </dxf>
    <dxf>
      <font>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color theme="7" tint="-0.499984740745262"/>
      </font>
      <fill>
        <patternFill>
          <bgColor theme="7" tint="0.59996337778862885"/>
        </patternFill>
      </fill>
    </dxf>
    <dxf>
      <font>
        <b val="0"/>
        <i val="0"/>
        <color rgb="FFC00000"/>
      </font>
      <fill>
        <patternFill>
          <bgColor rgb="FFFFCCCC"/>
        </patternFill>
      </fill>
    </dxf>
    <dxf>
      <alignment horizontal="general" vertical="bottom" textRotation="0" wrapText="1" indent="0" justifyLastLine="0" shrinkToFit="0" readingOrder="0"/>
    </dxf>
    <dxf>
      <font>
        <b/>
        <i val="0"/>
        <strike val="0"/>
        <condense val="0"/>
        <extend val="0"/>
        <outline val="0"/>
        <shadow val="0"/>
        <u val="none"/>
        <vertAlign val="baseline"/>
        <sz val="11"/>
        <color theme="0"/>
        <name val="Calibri"/>
        <scheme val="minor"/>
      </font>
      <fill>
        <patternFill patternType="solid">
          <fgColor indexed="64"/>
          <bgColor rgb="FFC00000"/>
        </patternFill>
      </fill>
    </dxf>
    <dxf>
      <font>
        <b val="0"/>
        <i val="0"/>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b val="0"/>
        <i val="0"/>
        <color theme="9" tint="-0.499984740745262"/>
      </font>
      <fill>
        <patternFill>
          <bgColor theme="9" tint="0.59996337778862885"/>
        </patternFill>
      </fill>
    </dxf>
    <dxf>
      <font>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color theme="7" tint="-0.499984740745262"/>
      </font>
      <fill>
        <patternFill>
          <bgColor theme="7" tint="0.59996337778862885"/>
        </patternFill>
      </fill>
    </dxf>
    <dxf>
      <font>
        <b val="0"/>
        <i val="0"/>
        <color rgb="FFC00000"/>
      </font>
      <fill>
        <patternFill>
          <bgColor rgb="FFFFCCCC"/>
        </patternFill>
      </fill>
    </dxf>
    <dxf>
      <font>
        <b val="0"/>
        <i val="0"/>
        <color theme="9" tint="-0.499984740745262"/>
      </font>
      <fill>
        <patternFill>
          <bgColor theme="9" tint="0.59996337778862885"/>
        </patternFill>
      </fill>
    </dxf>
    <dxf>
      <font>
        <color theme="7" tint="-0.499984740745262"/>
      </font>
      <fill>
        <patternFill>
          <bgColor theme="7" tint="0.59996337778862885"/>
        </patternFill>
      </fill>
    </dxf>
    <dxf>
      <font>
        <b val="0"/>
        <i val="0"/>
        <color rgb="FFC00000"/>
      </font>
      <fill>
        <patternFill>
          <bgColor rgb="FFFFCCCC"/>
        </patternFill>
      </fill>
    </dxf>
    <dxf>
      <fill>
        <patternFill patternType="solid">
          <bgColor rgb="FFFFFF00"/>
        </patternFill>
      </fill>
    </dxf>
    <dxf>
      <fill>
        <patternFill patternType="solid">
          <bgColor rgb="FFFFFF00"/>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177"/>
      <tableStyleElement type="headerRow" dxfId="176"/>
    </tableStyle>
  </tableStyles>
  <colors>
    <mruColors>
      <color rgb="FFFFCCCC"/>
      <color rgb="FFFF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Gantt!$C$2</c:f>
              <c:strCache>
                <c:ptCount val="1"/>
                <c:pt idx="0">
                  <c:v>Start</c:v>
                </c:pt>
              </c:strCache>
            </c:strRef>
          </c:tx>
          <c:spPr>
            <a:no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Gantt!$B$3:$B$14</c:f>
              <c:strCache>
                <c:ptCount val="12"/>
                <c:pt idx="0">
                  <c:v>P1 - EMV Onboarding</c:v>
                </c:pt>
                <c:pt idx="1">
                  <c:v>P2 - EMV Setup</c:v>
                </c:pt>
                <c:pt idx="2">
                  <c:v>P3 - Test Execution</c:v>
                </c:pt>
                <c:pt idx="3">
                  <c:v>P4 - Pre-Validation</c:v>
                </c:pt>
                <c:pt idx="4">
                  <c:v>P5 - Validation</c:v>
                </c:pt>
                <c:pt idx="5">
                  <c:v>P6 - Approval</c:v>
                </c:pt>
                <c:pt idx="6">
                  <c:v>A1 - EMV Onboarding</c:v>
                </c:pt>
                <c:pt idx="7">
                  <c:v>A2 - EMV Setup</c:v>
                </c:pt>
                <c:pt idx="8">
                  <c:v>A3 - Test Execution</c:v>
                </c:pt>
                <c:pt idx="9">
                  <c:v>A4 - Pre-Validation</c:v>
                </c:pt>
                <c:pt idx="10">
                  <c:v>A5 - Validation</c:v>
                </c:pt>
                <c:pt idx="11">
                  <c:v>A6 - Approval</c:v>
                </c:pt>
              </c:strCache>
            </c:strRef>
          </c:cat>
          <c:val>
            <c:numRef>
              <c:f>Gantt!$C$3:$C$14</c:f>
              <c:numCache>
                <c:formatCode>m/d/yyyy;@</c:formatCode>
                <c:ptCount val="12"/>
                <c:pt idx="0">
                  <c:v>43132</c:v>
                </c:pt>
                <c:pt idx="1">
                  <c:v>43146</c:v>
                </c:pt>
                <c:pt idx="2">
                  <c:v>43154</c:v>
                </c:pt>
                <c:pt idx="3">
                  <c:v>43217</c:v>
                </c:pt>
                <c:pt idx="4">
                  <c:v>43229</c:v>
                </c:pt>
                <c:pt idx="5">
                  <c:v>43249</c:v>
                </c:pt>
                <c:pt idx="6">
                  <c:v>43132</c:v>
                </c:pt>
                <c:pt idx="7">
                  <c:v>43134</c:v>
                </c:pt>
                <c:pt idx="8">
                  <c:v>43138</c:v>
                </c:pt>
                <c:pt idx="9">
                  <c:v>43276</c:v>
                </c:pt>
                <c:pt idx="10">
                  <c:v>0</c:v>
                </c:pt>
                <c:pt idx="11">
                  <c:v>0</c:v>
                </c:pt>
              </c:numCache>
            </c:numRef>
          </c:val>
          <c:extLst>
            <c:ext xmlns:c16="http://schemas.microsoft.com/office/drawing/2014/chart" uri="{C3380CC4-5D6E-409C-BE32-E72D297353CC}">
              <c16:uniqueId val="{00000000-4E78-4C25-9071-D620DF827C88}"/>
            </c:ext>
          </c:extLst>
        </c:ser>
        <c:ser>
          <c:idx val="1"/>
          <c:order val="1"/>
          <c:tx>
            <c:strRef>
              <c:f>Gantt!$D$2</c:f>
              <c:strCache>
                <c:ptCount val="1"/>
                <c:pt idx="0">
                  <c:v>Duration </c:v>
                </c:pt>
              </c:strCache>
            </c:strRef>
          </c:tx>
          <c:spPr>
            <a:solidFill>
              <a:srgbClr val="C00000"/>
            </a:solidFill>
            <a:ln>
              <a:noFill/>
            </a:ln>
            <a:effectLst/>
          </c:spPr>
          <c:invertIfNegative val="0"/>
          <c:dPt>
            <c:idx val="6"/>
            <c:invertIfNegative val="0"/>
            <c:bubble3D val="0"/>
            <c:spPr>
              <a:solidFill>
                <a:schemeClr val="accent1">
                  <a:lumMod val="50000"/>
                </a:schemeClr>
              </a:solidFill>
              <a:ln>
                <a:noFill/>
              </a:ln>
              <a:effectLst/>
            </c:spPr>
            <c:extLst>
              <c:ext xmlns:c16="http://schemas.microsoft.com/office/drawing/2014/chart" uri="{C3380CC4-5D6E-409C-BE32-E72D297353CC}">
                <c16:uniqueId val="{00000002-4E78-4C25-9071-D620DF827C88}"/>
              </c:ext>
            </c:extLst>
          </c:dPt>
          <c:dPt>
            <c:idx val="7"/>
            <c:invertIfNegative val="0"/>
            <c:bubble3D val="0"/>
            <c:spPr>
              <a:solidFill>
                <a:schemeClr val="accent1">
                  <a:lumMod val="50000"/>
                </a:schemeClr>
              </a:solidFill>
              <a:ln>
                <a:noFill/>
              </a:ln>
              <a:effectLst/>
            </c:spPr>
            <c:extLst>
              <c:ext xmlns:c16="http://schemas.microsoft.com/office/drawing/2014/chart" uri="{C3380CC4-5D6E-409C-BE32-E72D297353CC}">
                <c16:uniqueId val="{00000004-4E78-4C25-9071-D620DF827C88}"/>
              </c:ext>
            </c:extLst>
          </c:dPt>
          <c:dPt>
            <c:idx val="8"/>
            <c:invertIfNegative val="0"/>
            <c:bubble3D val="0"/>
            <c:spPr>
              <a:solidFill>
                <a:schemeClr val="accent1">
                  <a:lumMod val="50000"/>
                </a:schemeClr>
              </a:solidFill>
              <a:ln>
                <a:noFill/>
              </a:ln>
              <a:effectLst/>
            </c:spPr>
            <c:extLst>
              <c:ext xmlns:c16="http://schemas.microsoft.com/office/drawing/2014/chart" uri="{C3380CC4-5D6E-409C-BE32-E72D297353CC}">
                <c16:uniqueId val="{00000006-4E78-4C25-9071-D620DF827C88}"/>
              </c:ext>
            </c:extLst>
          </c:dPt>
          <c:dPt>
            <c:idx val="9"/>
            <c:invertIfNegative val="0"/>
            <c:bubble3D val="0"/>
            <c:spPr>
              <a:solidFill>
                <a:schemeClr val="accent1">
                  <a:lumMod val="50000"/>
                </a:schemeClr>
              </a:solidFill>
              <a:ln>
                <a:noFill/>
              </a:ln>
              <a:effectLst/>
            </c:spPr>
            <c:extLst>
              <c:ext xmlns:c16="http://schemas.microsoft.com/office/drawing/2014/chart" uri="{C3380CC4-5D6E-409C-BE32-E72D297353CC}">
                <c16:uniqueId val="{00000008-4E78-4C25-9071-D620DF827C88}"/>
              </c:ext>
            </c:extLst>
          </c:dPt>
          <c:dPt>
            <c:idx val="10"/>
            <c:invertIfNegative val="0"/>
            <c:bubble3D val="0"/>
            <c:spPr>
              <a:solidFill>
                <a:schemeClr val="accent1">
                  <a:lumMod val="50000"/>
                </a:schemeClr>
              </a:solidFill>
              <a:ln>
                <a:noFill/>
              </a:ln>
              <a:effectLst/>
            </c:spPr>
            <c:extLst>
              <c:ext xmlns:c16="http://schemas.microsoft.com/office/drawing/2014/chart" uri="{C3380CC4-5D6E-409C-BE32-E72D297353CC}">
                <c16:uniqueId val="{0000000A-4E78-4C25-9071-D620DF827C88}"/>
              </c:ext>
            </c:extLst>
          </c:dPt>
          <c:dPt>
            <c:idx val="11"/>
            <c:invertIfNegative val="0"/>
            <c:bubble3D val="0"/>
            <c:spPr>
              <a:solidFill>
                <a:schemeClr val="accent1">
                  <a:lumMod val="50000"/>
                </a:schemeClr>
              </a:solidFill>
              <a:ln>
                <a:noFill/>
              </a:ln>
              <a:effectLst/>
            </c:spPr>
            <c:extLst>
              <c:ext xmlns:c16="http://schemas.microsoft.com/office/drawing/2014/chart" uri="{C3380CC4-5D6E-409C-BE32-E72D297353CC}">
                <c16:uniqueId val="{0000000C-4E78-4C25-9071-D620DF827C88}"/>
              </c:ext>
            </c:extLst>
          </c:dPt>
          <c:cat>
            <c:strRef>
              <c:f>Gantt!$B$3:$B$14</c:f>
              <c:strCache>
                <c:ptCount val="12"/>
                <c:pt idx="0">
                  <c:v>P1 - EMV Onboarding</c:v>
                </c:pt>
                <c:pt idx="1">
                  <c:v>P2 - EMV Setup</c:v>
                </c:pt>
                <c:pt idx="2">
                  <c:v>P3 - Test Execution</c:v>
                </c:pt>
                <c:pt idx="3">
                  <c:v>P4 - Pre-Validation</c:v>
                </c:pt>
                <c:pt idx="4">
                  <c:v>P5 - Validation</c:v>
                </c:pt>
                <c:pt idx="5">
                  <c:v>P6 - Approval</c:v>
                </c:pt>
                <c:pt idx="6">
                  <c:v>A1 - EMV Onboarding</c:v>
                </c:pt>
                <c:pt idx="7">
                  <c:v>A2 - EMV Setup</c:v>
                </c:pt>
                <c:pt idx="8">
                  <c:v>A3 - Test Execution</c:v>
                </c:pt>
                <c:pt idx="9">
                  <c:v>A4 - Pre-Validation</c:v>
                </c:pt>
                <c:pt idx="10">
                  <c:v>A5 - Validation</c:v>
                </c:pt>
                <c:pt idx="11">
                  <c:v>A6 - Approval</c:v>
                </c:pt>
              </c:strCache>
            </c:strRef>
          </c:cat>
          <c:val>
            <c:numRef>
              <c:f>Gantt!$D$3:$D$14</c:f>
              <c:numCache>
                <c:formatCode>General</c:formatCode>
                <c:ptCount val="12"/>
                <c:pt idx="0">
                  <c:v>14</c:v>
                </c:pt>
                <c:pt idx="1">
                  <c:v>8</c:v>
                </c:pt>
                <c:pt idx="2">
                  <c:v>63</c:v>
                </c:pt>
                <c:pt idx="3">
                  <c:v>12</c:v>
                </c:pt>
                <c:pt idx="4">
                  <c:v>20</c:v>
                </c:pt>
                <c:pt idx="5">
                  <c:v>7</c:v>
                </c:pt>
                <c:pt idx="6">
                  <c:v>2</c:v>
                </c:pt>
                <c:pt idx="7">
                  <c:v>4</c:v>
                </c:pt>
                <c:pt idx="8">
                  <c:v>138</c:v>
                </c:pt>
                <c:pt idx="9">
                  <c:v>-43276</c:v>
                </c:pt>
                <c:pt idx="10">
                  <c:v>0</c:v>
                </c:pt>
                <c:pt idx="11">
                  <c:v>0</c:v>
                </c:pt>
              </c:numCache>
            </c:numRef>
          </c:val>
          <c:extLst>
            <c:ext xmlns:c16="http://schemas.microsoft.com/office/drawing/2014/chart" uri="{C3380CC4-5D6E-409C-BE32-E72D297353CC}">
              <c16:uniqueId val="{0000000D-4E78-4C25-9071-D620DF827C88}"/>
            </c:ext>
          </c:extLst>
        </c:ser>
        <c:dLbls>
          <c:showLegendKey val="0"/>
          <c:showVal val="0"/>
          <c:showCatName val="0"/>
          <c:showSerName val="0"/>
          <c:showPercent val="0"/>
          <c:showBubbleSize val="0"/>
        </c:dLbls>
        <c:gapWidth val="10"/>
        <c:overlap val="100"/>
        <c:axId val="208813672"/>
        <c:axId val="208817200"/>
      </c:barChart>
      <c:catAx>
        <c:axId val="208813672"/>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817200"/>
        <c:crosses val="autoZero"/>
        <c:auto val="1"/>
        <c:lblAlgn val="ctr"/>
        <c:lblOffset val="100"/>
        <c:noMultiLvlLbl val="0"/>
      </c:catAx>
      <c:valAx>
        <c:axId val="208817200"/>
        <c:scaling>
          <c:orientation val="minMax"/>
          <c:min val="43101"/>
        </c:scaling>
        <c:delete val="0"/>
        <c:axPos val="t"/>
        <c:majorGridlines>
          <c:spPr>
            <a:ln w="9525" cap="flat" cmpd="sng" algn="ctr">
              <a:solidFill>
                <a:schemeClr val="tx1">
                  <a:lumMod val="15000"/>
                  <a:lumOff val="85000"/>
                </a:schemeClr>
              </a:solidFill>
              <a:round/>
            </a:ln>
            <a:effectLst/>
          </c:spPr>
        </c:majorGridlines>
        <c:numFmt formatCode="m/d/yyyy;@"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8136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Gantt!$C$2</c:f>
              <c:strCache>
                <c:ptCount val="1"/>
                <c:pt idx="0">
                  <c:v>Start</c:v>
                </c:pt>
              </c:strCache>
            </c:strRef>
          </c:tx>
          <c:spPr>
            <a:no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Gantt!$B$3:$B$14</c:f>
              <c:strCache>
                <c:ptCount val="12"/>
                <c:pt idx="0">
                  <c:v>P1 - EMV Onboarding</c:v>
                </c:pt>
                <c:pt idx="1">
                  <c:v>P2 - EMV Setup</c:v>
                </c:pt>
                <c:pt idx="2">
                  <c:v>P3 - Test Execution</c:v>
                </c:pt>
                <c:pt idx="3">
                  <c:v>P4 - Pre-Validation</c:v>
                </c:pt>
                <c:pt idx="4">
                  <c:v>P5 - Validation</c:v>
                </c:pt>
                <c:pt idx="5">
                  <c:v>P6 - Approval</c:v>
                </c:pt>
                <c:pt idx="6">
                  <c:v>A1 - EMV Onboarding</c:v>
                </c:pt>
                <c:pt idx="7">
                  <c:v>A2 - EMV Setup</c:v>
                </c:pt>
                <c:pt idx="8">
                  <c:v>A3 - Test Execution</c:v>
                </c:pt>
                <c:pt idx="9">
                  <c:v>A4 - Pre-Validation</c:v>
                </c:pt>
                <c:pt idx="10">
                  <c:v>A5 - Validation</c:v>
                </c:pt>
                <c:pt idx="11">
                  <c:v>A6 - Approval</c:v>
                </c:pt>
              </c:strCache>
            </c:strRef>
          </c:cat>
          <c:val>
            <c:numRef>
              <c:f>Gantt!$C$3:$C$14</c:f>
              <c:numCache>
                <c:formatCode>m/d/yyyy;@</c:formatCode>
                <c:ptCount val="12"/>
                <c:pt idx="0">
                  <c:v>43132</c:v>
                </c:pt>
                <c:pt idx="1">
                  <c:v>43146</c:v>
                </c:pt>
                <c:pt idx="2">
                  <c:v>43154</c:v>
                </c:pt>
                <c:pt idx="3">
                  <c:v>43217</c:v>
                </c:pt>
                <c:pt idx="4">
                  <c:v>43229</c:v>
                </c:pt>
                <c:pt idx="5">
                  <c:v>43249</c:v>
                </c:pt>
                <c:pt idx="6">
                  <c:v>43132</c:v>
                </c:pt>
                <c:pt idx="7">
                  <c:v>43134</c:v>
                </c:pt>
                <c:pt idx="8">
                  <c:v>43138</c:v>
                </c:pt>
                <c:pt idx="9">
                  <c:v>43276</c:v>
                </c:pt>
                <c:pt idx="10">
                  <c:v>0</c:v>
                </c:pt>
                <c:pt idx="11">
                  <c:v>0</c:v>
                </c:pt>
              </c:numCache>
            </c:numRef>
          </c:val>
          <c:extLst>
            <c:ext xmlns:c16="http://schemas.microsoft.com/office/drawing/2014/chart" uri="{C3380CC4-5D6E-409C-BE32-E72D297353CC}">
              <c16:uniqueId val="{00000000-A722-4648-8B69-344C453ABF97}"/>
            </c:ext>
          </c:extLst>
        </c:ser>
        <c:ser>
          <c:idx val="1"/>
          <c:order val="1"/>
          <c:tx>
            <c:strRef>
              <c:f>Gantt!$D$2</c:f>
              <c:strCache>
                <c:ptCount val="1"/>
                <c:pt idx="0">
                  <c:v>Duration </c:v>
                </c:pt>
              </c:strCache>
            </c:strRef>
          </c:tx>
          <c:spPr>
            <a:solidFill>
              <a:srgbClr val="C00000"/>
            </a:solidFill>
            <a:ln>
              <a:noFill/>
            </a:ln>
            <a:effectLst/>
          </c:spPr>
          <c:invertIfNegative val="0"/>
          <c:dPt>
            <c:idx val="6"/>
            <c:invertIfNegative val="0"/>
            <c:bubble3D val="0"/>
            <c:spPr>
              <a:solidFill>
                <a:schemeClr val="accent1">
                  <a:lumMod val="50000"/>
                </a:schemeClr>
              </a:solidFill>
              <a:ln>
                <a:noFill/>
              </a:ln>
              <a:effectLst/>
            </c:spPr>
            <c:extLst>
              <c:ext xmlns:c16="http://schemas.microsoft.com/office/drawing/2014/chart" uri="{C3380CC4-5D6E-409C-BE32-E72D297353CC}">
                <c16:uniqueId val="{00000002-A722-4648-8B69-344C453ABF97}"/>
              </c:ext>
            </c:extLst>
          </c:dPt>
          <c:dPt>
            <c:idx val="7"/>
            <c:invertIfNegative val="0"/>
            <c:bubble3D val="0"/>
            <c:spPr>
              <a:solidFill>
                <a:schemeClr val="accent1">
                  <a:lumMod val="50000"/>
                </a:schemeClr>
              </a:solidFill>
              <a:ln>
                <a:noFill/>
              </a:ln>
              <a:effectLst/>
            </c:spPr>
            <c:extLst>
              <c:ext xmlns:c16="http://schemas.microsoft.com/office/drawing/2014/chart" uri="{C3380CC4-5D6E-409C-BE32-E72D297353CC}">
                <c16:uniqueId val="{00000004-A722-4648-8B69-344C453ABF97}"/>
              </c:ext>
            </c:extLst>
          </c:dPt>
          <c:dPt>
            <c:idx val="8"/>
            <c:invertIfNegative val="0"/>
            <c:bubble3D val="0"/>
            <c:spPr>
              <a:solidFill>
                <a:schemeClr val="accent1">
                  <a:lumMod val="50000"/>
                </a:schemeClr>
              </a:solidFill>
              <a:ln>
                <a:noFill/>
              </a:ln>
              <a:effectLst/>
            </c:spPr>
            <c:extLst>
              <c:ext xmlns:c16="http://schemas.microsoft.com/office/drawing/2014/chart" uri="{C3380CC4-5D6E-409C-BE32-E72D297353CC}">
                <c16:uniqueId val="{00000006-A722-4648-8B69-344C453ABF97}"/>
              </c:ext>
            </c:extLst>
          </c:dPt>
          <c:dPt>
            <c:idx val="9"/>
            <c:invertIfNegative val="0"/>
            <c:bubble3D val="0"/>
            <c:spPr>
              <a:solidFill>
                <a:schemeClr val="accent1">
                  <a:lumMod val="50000"/>
                </a:schemeClr>
              </a:solidFill>
              <a:ln>
                <a:noFill/>
              </a:ln>
              <a:effectLst/>
            </c:spPr>
            <c:extLst>
              <c:ext xmlns:c16="http://schemas.microsoft.com/office/drawing/2014/chart" uri="{C3380CC4-5D6E-409C-BE32-E72D297353CC}">
                <c16:uniqueId val="{00000008-A722-4648-8B69-344C453ABF97}"/>
              </c:ext>
            </c:extLst>
          </c:dPt>
          <c:dPt>
            <c:idx val="10"/>
            <c:invertIfNegative val="0"/>
            <c:bubble3D val="0"/>
            <c:spPr>
              <a:solidFill>
                <a:schemeClr val="accent1">
                  <a:lumMod val="50000"/>
                </a:schemeClr>
              </a:solidFill>
              <a:ln>
                <a:noFill/>
              </a:ln>
              <a:effectLst/>
            </c:spPr>
            <c:extLst>
              <c:ext xmlns:c16="http://schemas.microsoft.com/office/drawing/2014/chart" uri="{C3380CC4-5D6E-409C-BE32-E72D297353CC}">
                <c16:uniqueId val="{0000000A-A722-4648-8B69-344C453ABF97}"/>
              </c:ext>
            </c:extLst>
          </c:dPt>
          <c:dPt>
            <c:idx val="11"/>
            <c:invertIfNegative val="0"/>
            <c:bubble3D val="0"/>
            <c:spPr>
              <a:solidFill>
                <a:schemeClr val="accent1">
                  <a:lumMod val="50000"/>
                </a:schemeClr>
              </a:solidFill>
              <a:ln>
                <a:noFill/>
              </a:ln>
              <a:effectLst/>
            </c:spPr>
            <c:extLst>
              <c:ext xmlns:c16="http://schemas.microsoft.com/office/drawing/2014/chart" uri="{C3380CC4-5D6E-409C-BE32-E72D297353CC}">
                <c16:uniqueId val="{0000000C-A722-4648-8B69-344C453ABF97}"/>
              </c:ext>
            </c:extLst>
          </c:dPt>
          <c:cat>
            <c:strRef>
              <c:f>Gantt!$B$3:$B$14</c:f>
              <c:strCache>
                <c:ptCount val="12"/>
                <c:pt idx="0">
                  <c:v>P1 - EMV Onboarding</c:v>
                </c:pt>
                <c:pt idx="1">
                  <c:v>P2 - EMV Setup</c:v>
                </c:pt>
                <c:pt idx="2">
                  <c:v>P3 - Test Execution</c:v>
                </c:pt>
                <c:pt idx="3">
                  <c:v>P4 - Pre-Validation</c:v>
                </c:pt>
                <c:pt idx="4">
                  <c:v>P5 - Validation</c:v>
                </c:pt>
                <c:pt idx="5">
                  <c:v>P6 - Approval</c:v>
                </c:pt>
                <c:pt idx="6">
                  <c:v>A1 - EMV Onboarding</c:v>
                </c:pt>
                <c:pt idx="7">
                  <c:v>A2 - EMV Setup</c:v>
                </c:pt>
                <c:pt idx="8">
                  <c:v>A3 - Test Execution</c:v>
                </c:pt>
                <c:pt idx="9">
                  <c:v>A4 - Pre-Validation</c:v>
                </c:pt>
                <c:pt idx="10">
                  <c:v>A5 - Validation</c:v>
                </c:pt>
                <c:pt idx="11">
                  <c:v>A6 - Approval</c:v>
                </c:pt>
              </c:strCache>
            </c:strRef>
          </c:cat>
          <c:val>
            <c:numRef>
              <c:f>Gantt!$D$3:$D$14</c:f>
              <c:numCache>
                <c:formatCode>General</c:formatCode>
                <c:ptCount val="12"/>
                <c:pt idx="0">
                  <c:v>14</c:v>
                </c:pt>
                <c:pt idx="1">
                  <c:v>8</c:v>
                </c:pt>
                <c:pt idx="2">
                  <c:v>63</c:v>
                </c:pt>
                <c:pt idx="3">
                  <c:v>12</c:v>
                </c:pt>
                <c:pt idx="4">
                  <c:v>20</c:v>
                </c:pt>
                <c:pt idx="5">
                  <c:v>7</c:v>
                </c:pt>
                <c:pt idx="6">
                  <c:v>2</c:v>
                </c:pt>
                <c:pt idx="7">
                  <c:v>4</c:v>
                </c:pt>
                <c:pt idx="8">
                  <c:v>138</c:v>
                </c:pt>
                <c:pt idx="9">
                  <c:v>-43276</c:v>
                </c:pt>
                <c:pt idx="10">
                  <c:v>0</c:v>
                </c:pt>
                <c:pt idx="11">
                  <c:v>0</c:v>
                </c:pt>
              </c:numCache>
            </c:numRef>
          </c:val>
          <c:extLst>
            <c:ext xmlns:c16="http://schemas.microsoft.com/office/drawing/2014/chart" uri="{C3380CC4-5D6E-409C-BE32-E72D297353CC}">
              <c16:uniqueId val="{0000000D-A722-4648-8B69-344C453ABF97}"/>
            </c:ext>
          </c:extLst>
        </c:ser>
        <c:dLbls>
          <c:showLegendKey val="0"/>
          <c:showVal val="0"/>
          <c:showCatName val="0"/>
          <c:showSerName val="0"/>
          <c:showPercent val="0"/>
          <c:showBubbleSize val="0"/>
        </c:dLbls>
        <c:gapWidth val="10"/>
        <c:overlap val="100"/>
        <c:axId val="208811712"/>
        <c:axId val="208814848"/>
      </c:barChart>
      <c:catAx>
        <c:axId val="208811712"/>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814848"/>
        <c:crosses val="autoZero"/>
        <c:auto val="1"/>
        <c:lblAlgn val="ctr"/>
        <c:lblOffset val="100"/>
        <c:noMultiLvlLbl val="0"/>
      </c:catAx>
      <c:valAx>
        <c:axId val="208814848"/>
        <c:scaling>
          <c:orientation val="minMax"/>
          <c:min val="43101"/>
        </c:scaling>
        <c:delete val="0"/>
        <c:axPos val="t"/>
        <c:majorGridlines>
          <c:spPr>
            <a:ln w="9525" cap="flat" cmpd="sng" algn="ctr">
              <a:solidFill>
                <a:schemeClr val="tx1">
                  <a:lumMod val="15000"/>
                  <a:lumOff val="85000"/>
                </a:schemeClr>
              </a:solidFill>
              <a:round/>
            </a:ln>
            <a:effectLst/>
          </c:spPr>
        </c:majorGridlines>
        <c:numFmt formatCode="m/d/yyyy;@"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8117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800" b="1">
                <a:solidFill>
                  <a:srgbClr val="92D050"/>
                </a:solidFill>
              </a:rPr>
              <a:t>Passed Test Cases</a:t>
            </a:r>
          </a:p>
        </c:rich>
      </c:tx>
      <c:layout>
        <c:manualLayout>
          <c:xMode val="edge"/>
          <c:yMode val="edge"/>
          <c:x val="0.2253012048192771"/>
          <c:y val="6.811989100817439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9505749460400545"/>
          <c:y val="0.1775946275946276"/>
          <c:w val="0.62421203438395412"/>
          <c:h val="0.79798534798534793"/>
        </c:manualLayout>
      </c:layout>
      <c:doughnutChart>
        <c:varyColors val="1"/>
        <c:ser>
          <c:idx val="0"/>
          <c:order val="0"/>
          <c:tx>
            <c:v>Timeline</c:v>
          </c:tx>
          <c:dPt>
            <c:idx val="0"/>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01-63EB-4E08-970D-C1B0D4463AB6}"/>
              </c:ext>
            </c:extLst>
          </c:dPt>
          <c:dPt>
            <c:idx val="1"/>
            <c:bubble3D val="0"/>
            <c:spPr>
              <a:solidFill>
                <a:schemeClr val="bg1">
                  <a:lumMod val="75000"/>
                </a:schemeClr>
              </a:solidFill>
              <a:ln w="19050">
                <a:solidFill>
                  <a:schemeClr val="lt1"/>
                </a:solidFill>
              </a:ln>
              <a:effectLst/>
            </c:spPr>
            <c:extLst>
              <c:ext xmlns:c16="http://schemas.microsoft.com/office/drawing/2014/chart" uri="{C3380CC4-5D6E-409C-BE32-E72D297353CC}">
                <c16:uniqueId val="{00000003-63EB-4E08-970D-C1B0D4463AB6}"/>
              </c:ext>
            </c:extLst>
          </c:dPt>
          <c:cat>
            <c:strRef>
              <c:f>'Test Summary'!$A$16:$A$17</c:f>
              <c:strCache>
                <c:ptCount val="2"/>
                <c:pt idx="0">
                  <c:v>Pass</c:v>
                </c:pt>
                <c:pt idx="1">
                  <c:v>Fail&amp;Pending</c:v>
                </c:pt>
              </c:strCache>
            </c:strRef>
          </c:cat>
          <c:val>
            <c:numRef>
              <c:f>'Test Summary'!$B$19:$B$20</c:f>
              <c:numCache>
                <c:formatCode>0</c:formatCode>
                <c:ptCount val="2"/>
                <c:pt idx="0">
                  <c:v>206</c:v>
                </c:pt>
                <c:pt idx="1">
                  <c:v>-160</c:v>
                </c:pt>
              </c:numCache>
            </c:numRef>
          </c:val>
          <c:extLst>
            <c:ext xmlns:c16="http://schemas.microsoft.com/office/drawing/2014/chart" uri="{C3380CC4-5D6E-409C-BE32-E72D297353CC}">
              <c16:uniqueId val="{00000004-63EB-4E08-970D-C1B0D4463AB6}"/>
            </c:ext>
          </c:extLst>
        </c:ser>
        <c:ser>
          <c:idx val="1"/>
          <c:order val="1"/>
          <c:tx>
            <c:v>Test Results</c:v>
          </c:tx>
          <c:dPt>
            <c:idx val="0"/>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06-63EB-4E08-970D-C1B0D4463AB6}"/>
              </c:ext>
            </c:extLst>
          </c:dPt>
          <c:dPt>
            <c:idx val="1"/>
            <c:bubble3D val="0"/>
            <c:spPr>
              <a:solidFill>
                <a:schemeClr val="bg1">
                  <a:lumMod val="75000"/>
                </a:schemeClr>
              </a:solidFill>
              <a:ln w="19050">
                <a:solidFill>
                  <a:schemeClr val="lt1"/>
                </a:solidFill>
              </a:ln>
              <a:effectLst/>
            </c:spPr>
            <c:extLst>
              <c:ext xmlns:c16="http://schemas.microsoft.com/office/drawing/2014/chart" uri="{C3380CC4-5D6E-409C-BE32-E72D297353CC}">
                <c16:uniqueId val="{00000008-63EB-4E08-970D-C1B0D4463AB6}"/>
              </c:ext>
            </c:extLst>
          </c:dPt>
          <c:cat>
            <c:strRef>
              <c:f>'Test Summary'!$A$16:$A$17</c:f>
              <c:strCache>
                <c:ptCount val="2"/>
                <c:pt idx="0">
                  <c:v>Pass</c:v>
                </c:pt>
                <c:pt idx="1">
                  <c:v>Fail&amp;Pending</c:v>
                </c:pt>
              </c:strCache>
            </c:strRef>
          </c:cat>
          <c:val>
            <c:numRef>
              <c:f>'Test Summary'!$B$16:$B$17</c:f>
              <c:numCache>
                <c:formatCode>0.0%</c:formatCode>
                <c:ptCount val="2"/>
                <c:pt idx="0">
                  <c:v>0</c:v>
                </c:pt>
                <c:pt idx="1">
                  <c:v>0</c:v>
                </c:pt>
              </c:numCache>
            </c:numRef>
          </c:val>
          <c:extLst>
            <c:ext xmlns:c16="http://schemas.microsoft.com/office/drawing/2014/chart" uri="{C3380CC4-5D6E-409C-BE32-E72D297353CC}">
              <c16:uniqueId val="{00000009-63EB-4E08-970D-C1B0D4463AB6}"/>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Number of Test</a:t>
            </a:r>
            <a:r>
              <a:rPr lang="en-US" baseline="0"/>
              <a:t> Cases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stacked"/>
        <c:varyColors val="0"/>
        <c:ser>
          <c:idx val="0"/>
          <c:order val="0"/>
          <c:tx>
            <c:strRef>
              <c:f>'Test Summary'!$B$1</c:f>
              <c:strCache>
                <c:ptCount val="1"/>
                <c:pt idx="0">
                  <c:v>Pass</c:v>
                </c:pt>
              </c:strCache>
            </c:strRef>
          </c:tx>
          <c:spPr>
            <a:solidFill>
              <a:schemeClr val="accent1"/>
            </a:solidFill>
            <a:ln>
              <a:noFill/>
            </a:ln>
            <a:effectLst/>
          </c:spPr>
          <c:invertIfNegative val="0"/>
          <c:cat>
            <c:strRef>
              <c:f>'Test Summary'!$A$2:$A$13</c:f>
              <c:strCache>
                <c:ptCount val="8"/>
                <c:pt idx="0">
                  <c:v>American Express Contactless </c:v>
                </c:pt>
                <c:pt idx="1">
                  <c:v>American Express Quick Chip </c:v>
                </c:pt>
                <c:pt idx="2">
                  <c:v>Discover Contact </c:v>
                </c:pt>
                <c:pt idx="3">
                  <c:v>Discover Contactless </c:v>
                </c:pt>
                <c:pt idx="4">
                  <c:v>MasterCard</c:v>
                </c:pt>
                <c:pt idx="5">
                  <c:v>Visa Contact</c:v>
                </c:pt>
                <c:pt idx="6">
                  <c:v>Visa Contactless</c:v>
                </c:pt>
                <c:pt idx="7">
                  <c:v>Visa US Debit</c:v>
                </c:pt>
              </c:strCache>
            </c:strRef>
          </c:cat>
          <c:val>
            <c:numRef>
              <c:f>'Test Summary'!$B$2:$B$13</c:f>
              <c:numCache>
                <c:formatCode>General</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0-E036-4B28-9428-0B187D2AFC45}"/>
            </c:ext>
          </c:extLst>
        </c:ser>
        <c:ser>
          <c:idx val="1"/>
          <c:order val="1"/>
          <c:tx>
            <c:strRef>
              <c:f>'Test Summary'!$C$1</c:f>
              <c:strCache>
                <c:ptCount val="1"/>
                <c:pt idx="0">
                  <c:v>Fail</c:v>
                </c:pt>
              </c:strCache>
            </c:strRef>
          </c:tx>
          <c:spPr>
            <a:solidFill>
              <a:schemeClr val="accent2"/>
            </a:solidFill>
            <a:ln>
              <a:noFill/>
            </a:ln>
            <a:effectLst/>
          </c:spPr>
          <c:invertIfNegative val="0"/>
          <c:cat>
            <c:strRef>
              <c:f>'Test Summary'!$A$2:$A$13</c:f>
              <c:strCache>
                <c:ptCount val="8"/>
                <c:pt idx="0">
                  <c:v>American Express Contactless </c:v>
                </c:pt>
                <c:pt idx="1">
                  <c:v>American Express Quick Chip </c:v>
                </c:pt>
                <c:pt idx="2">
                  <c:v>Discover Contact </c:v>
                </c:pt>
                <c:pt idx="3">
                  <c:v>Discover Contactless </c:v>
                </c:pt>
                <c:pt idx="4">
                  <c:v>MasterCard</c:v>
                </c:pt>
                <c:pt idx="5">
                  <c:v>Visa Contact</c:v>
                </c:pt>
                <c:pt idx="6">
                  <c:v>Visa Contactless</c:v>
                </c:pt>
                <c:pt idx="7">
                  <c:v>Visa US Debit</c:v>
                </c:pt>
              </c:strCache>
            </c:strRef>
          </c:cat>
          <c:val>
            <c:numRef>
              <c:f>'Test Summary'!$C$2:$C$13</c:f>
              <c:numCache>
                <c:formatCode>General</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1-E036-4B28-9428-0B187D2AFC45}"/>
            </c:ext>
          </c:extLst>
        </c:ser>
        <c:ser>
          <c:idx val="2"/>
          <c:order val="2"/>
          <c:tx>
            <c:strRef>
              <c:f>'Test Summary'!$D$1</c:f>
              <c:strCache>
                <c:ptCount val="1"/>
                <c:pt idx="0">
                  <c:v>Pending</c:v>
                </c:pt>
              </c:strCache>
            </c:strRef>
          </c:tx>
          <c:spPr>
            <a:solidFill>
              <a:schemeClr val="accent3"/>
            </a:solidFill>
            <a:ln>
              <a:noFill/>
            </a:ln>
            <a:effectLst/>
          </c:spPr>
          <c:invertIfNegative val="0"/>
          <c:cat>
            <c:strRef>
              <c:f>'Test Summary'!$A$2:$A$13</c:f>
              <c:strCache>
                <c:ptCount val="8"/>
                <c:pt idx="0">
                  <c:v>American Express Contactless </c:v>
                </c:pt>
                <c:pt idx="1">
                  <c:v>American Express Quick Chip </c:v>
                </c:pt>
                <c:pt idx="2">
                  <c:v>Discover Contact </c:v>
                </c:pt>
                <c:pt idx="3">
                  <c:v>Discover Contactless </c:v>
                </c:pt>
                <c:pt idx="4">
                  <c:v>MasterCard</c:v>
                </c:pt>
                <c:pt idx="5">
                  <c:v>Visa Contact</c:v>
                </c:pt>
                <c:pt idx="6">
                  <c:v>Visa Contactless</c:v>
                </c:pt>
                <c:pt idx="7">
                  <c:v>Visa US Debit</c:v>
                </c:pt>
              </c:strCache>
            </c:strRef>
          </c:cat>
          <c:val>
            <c:numRef>
              <c:f>'Test Summary'!$D$2:$D$13</c:f>
              <c:numCache>
                <c:formatCode>General</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2-E036-4B28-9428-0B187D2AFC45}"/>
            </c:ext>
          </c:extLst>
        </c:ser>
        <c:dLbls>
          <c:showLegendKey val="0"/>
          <c:showVal val="0"/>
          <c:showCatName val="0"/>
          <c:showSerName val="0"/>
          <c:showPercent val="0"/>
          <c:showBubbleSize val="0"/>
        </c:dLbls>
        <c:gapWidth val="150"/>
        <c:overlap val="100"/>
        <c:axId val="208816808"/>
        <c:axId val="208815632"/>
      </c:barChart>
      <c:catAx>
        <c:axId val="208816808"/>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815632"/>
        <c:crosses val="autoZero"/>
        <c:auto val="1"/>
        <c:lblAlgn val="ctr"/>
        <c:lblOffset val="100"/>
        <c:noMultiLvlLbl val="0"/>
      </c:catAx>
      <c:valAx>
        <c:axId val="208815632"/>
        <c:scaling>
          <c:orientation val="minMax"/>
        </c:scaling>
        <c:delete val="0"/>
        <c:axPos val="t"/>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8168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1</xdr:col>
      <xdr:colOff>7620</xdr:colOff>
      <xdr:row>0</xdr:row>
      <xdr:rowOff>60960</xdr:rowOff>
    </xdr:from>
    <xdr:to>
      <xdr:col>2</xdr:col>
      <xdr:colOff>388620</xdr:colOff>
      <xdr:row>0</xdr:row>
      <xdr:rowOff>613944</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64920" y="60960"/>
          <a:ext cx="2164080" cy="552984"/>
        </a:xfrm>
        <a:prstGeom prst="rect">
          <a:avLst/>
        </a:prstGeom>
      </xdr:spPr>
    </xdr:pic>
    <xdr:clientData/>
  </xdr:twoCellAnchor>
  <xdr:twoCellAnchor>
    <xdr:from>
      <xdr:col>4</xdr:col>
      <xdr:colOff>0</xdr:colOff>
      <xdr:row>11</xdr:row>
      <xdr:rowOff>0</xdr:rowOff>
    </xdr:from>
    <xdr:to>
      <xdr:col>9</xdr:col>
      <xdr:colOff>601980</xdr:colOff>
      <xdr:row>26</xdr:row>
      <xdr:rowOff>0</xdr:rowOff>
    </xdr:to>
    <xdr:graphicFrame macro="">
      <xdr:nvGraphicFramePr>
        <xdr:cNvPr id="10" name="Chart 9">
          <a:extLst>
            <a:ext uri="{FF2B5EF4-FFF2-40B4-BE49-F238E27FC236}">
              <a16:creationId xmlns:a16="http://schemas.microsoft.com/office/drawing/2014/main" id="{00000000-0008-0000-00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twoCellAnchor>
  <xdr:twoCellAnchor>
    <xdr:from>
      <xdr:col>8</xdr:col>
      <xdr:colOff>281940</xdr:colOff>
      <xdr:row>8</xdr:row>
      <xdr:rowOff>38100</xdr:rowOff>
    </xdr:from>
    <xdr:to>
      <xdr:col>8</xdr:col>
      <xdr:colOff>548640</xdr:colOff>
      <xdr:row>8</xdr:row>
      <xdr:rowOff>152400</xdr:rowOff>
    </xdr:to>
    <xdr:sp macro="" textlink="">
      <xdr:nvSpPr>
        <xdr:cNvPr id="3" name="Rectangle 2">
          <a:extLst>
            <a:ext uri="{FF2B5EF4-FFF2-40B4-BE49-F238E27FC236}">
              <a16:creationId xmlns:a16="http://schemas.microsoft.com/office/drawing/2014/main" id="{00000000-0008-0000-0000-000003000000}"/>
            </a:ext>
          </a:extLst>
        </xdr:cNvPr>
        <xdr:cNvSpPr/>
      </xdr:nvSpPr>
      <xdr:spPr>
        <a:xfrm>
          <a:off x="10812780" y="1996440"/>
          <a:ext cx="266700" cy="114300"/>
        </a:xfrm>
        <a:prstGeom prst="rect">
          <a:avLst/>
        </a:prstGeom>
        <a:solidFill>
          <a:srgbClr val="C0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281940</xdr:colOff>
      <xdr:row>9</xdr:row>
      <xdr:rowOff>45720</xdr:rowOff>
    </xdr:from>
    <xdr:to>
      <xdr:col>8</xdr:col>
      <xdr:colOff>548640</xdr:colOff>
      <xdr:row>9</xdr:row>
      <xdr:rowOff>160020</xdr:rowOff>
    </xdr:to>
    <xdr:sp macro="" textlink="">
      <xdr:nvSpPr>
        <xdr:cNvPr id="11" name="Rectangle 10">
          <a:extLst>
            <a:ext uri="{FF2B5EF4-FFF2-40B4-BE49-F238E27FC236}">
              <a16:creationId xmlns:a16="http://schemas.microsoft.com/office/drawing/2014/main" id="{00000000-0008-0000-0000-00000B000000}"/>
            </a:ext>
          </a:extLst>
        </xdr:cNvPr>
        <xdr:cNvSpPr/>
      </xdr:nvSpPr>
      <xdr:spPr>
        <a:xfrm>
          <a:off x="10812780" y="2186940"/>
          <a:ext cx="266700" cy="114300"/>
        </a:xfrm>
        <a:prstGeom prst="rect">
          <a:avLst/>
        </a:prstGeom>
        <a:solidFill>
          <a:schemeClr val="accent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xdr:col>
      <xdr:colOff>53340</xdr:colOff>
      <xdr:row>0</xdr:row>
      <xdr:rowOff>160020</xdr:rowOff>
    </xdr:from>
    <xdr:to>
      <xdr:col>16</xdr:col>
      <xdr:colOff>419100</xdr:colOff>
      <xdr:row>15</xdr:row>
      <xdr:rowOff>76200</xdr:rowOff>
    </xdr:to>
    <xdr:graphicFrame macro="">
      <xdr:nvGraphicFramePr>
        <xdr:cNvPr id="10" name="Chart 9">
          <a:extLst>
            <a:ext uri="{FF2B5EF4-FFF2-40B4-BE49-F238E27FC236}">
              <a16:creationId xmlns:a16="http://schemas.microsoft.com/office/drawing/2014/main" id="{00000000-0008-0000-01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6</xdr:col>
      <xdr:colOff>0</xdr:colOff>
      <xdr:row>14</xdr:row>
      <xdr:rowOff>0</xdr:rowOff>
    </xdr:from>
    <xdr:to>
      <xdr:col>10</xdr:col>
      <xdr:colOff>647700</xdr:colOff>
      <xdr:row>29</xdr:row>
      <xdr:rowOff>53340</xdr:rowOff>
    </xdr:to>
    <xdr:graphicFrame macro="">
      <xdr:nvGraphicFramePr>
        <xdr:cNvPr id="19" name="Chart 18">
          <a:extLst>
            <a:ext uri="{FF2B5EF4-FFF2-40B4-BE49-F238E27FC236}">
              <a16:creationId xmlns:a16="http://schemas.microsoft.com/office/drawing/2014/main" id="{00000000-0008-0000-02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14</xdr:row>
      <xdr:rowOff>0</xdr:rowOff>
    </xdr:from>
    <xdr:to>
      <xdr:col>5</xdr:col>
      <xdr:colOff>1653540</xdr:colOff>
      <xdr:row>29</xdr:row>
      <xdr:rowOff>68580</xdr:rowOff>
    </xdr:to>
    <xdr:graphicFrame macro="">
      <xdr:nvGraphicFramePr>
        <xdr:cNvPr id="4" name="Chart 3">
          <a:extLst>
            <a:ext uri="{FF2B5EF4-FFF2-40B4-BE49-F238E27FC236}">
              <a16:creationId xmlns:a16="http://schemas.microsoft.com/office/drawing/2014/main" id="{00000000-0008-0000-02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0.36103</cdr:x>
      <cdr:y>0.41026</cdr:y>
    </cdr:from>
    <cdr:to>
      <cdr:x>0.67335</cdr:x>
      <cdr:y>0.75092</cdr:y>
    </cdr:to>
    <cdr:sp macro="" textlink="">
      <cdr:nvSpPr>
        <cdr:cNvPr id="2" name="TextBox 1"/>
        <cdr:cNvSpPr txBox="1"/>
      </cdr:nvSpPr>
      <cdr:spPr>
        <a:xfrm xmlns:a="http://schemas.openxmlformats.org/drawingml/2006/main">
          <a:off x="960120" y="853440"/>
          <a:ext cx="830580" cy="70866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a:r>
            <a:rPr lang="en-US" sz="1600" b="1">
              <a:solidFill>
                <a:schemeClr val="accent5">
                  <a:lumMod val="60000"/>
                  <a:lumOff val="40000"/>
                </a:schemeClr>
              </a:solidFill>
            </a:rPr>
            <a:t>Active Business</a:t>
          </a:r>
          <a:r>
            <a:rPr lang="en-US" sz="1600" b="1" baseline="0">
              <a:solidFill>
                <a:schemeClr val="accent5">
                  <a:lumMod val="60000"/>
                  <a:lumOff val="40000"/>
                </a:schemeClr>
              </a:solidFill>
            </a:rPr>
            <a:t> Days</a:t>
          </a:r>
          <a:endParaRPr lang="en-US" sz="1600" b="1">
            <a:solidFill>
              <a:schemeClr val="accent5">
                <a:lumMod val="60000"/>
                <a:lumOff val="40000"/>
              </a:schemeClr>
            </a:solidFill>
          </a:endParaRPr>
        </a:p>
      </cdr:txBody>
    </cdr:sp>
  </cdr:relSizeAnchor>
</c:userShapes>
</file>

<file path=xl/drawings/drawing5.xml><?xml version="1.0" encoding="utf-8"?>
<xdr:wsDr xmlns:xdr="http://schemas.openxmlformats.org/drawingml/2006/spreadsheetDrawing" xmlns:a="http://schemas.openxmlformats.org/drawingml/2006/main">
  <xdr:twoCellAnchor editAs="oneCell">
    <xdr:from>
      <xdr:col>1</xdr:col>
      <xdr:colOff>60960</xdr:colOff>
      <xdr:row>24</xdr:row>
      <xdr:rowOff>99060</xdr:rowOff>
    </xdr:from>
    <xdr:to>
      <xdr:col>1</xdr:col>
      <xdr:colOff>1989330</xdr:colOff>
      <xdr:row>24</xdr:row>
      <xdr:rowOff>1752743</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rotWithShape="1">
        <a:blip xmlns:r="http://schemas.openxmlformats.org/officeDocument/2006/relationships" r:embed="rId1"/>
        <a:srcRect l="67265"/>
        <a:stretch/>
      </xdr:blipFill>
      <xdr:spPr>
        <a:xfrm>
          <a:off x="670560" y="6545580"/>
          <a:ext cx="1928370" cy="1653683"/>
        </a:xfrm>
        <a:prstGeom prst="rect">
          <a:avLst/>
        </a:prstGeom>
        <a:ln w="38100" cap="sq">
          <a:solidFill>
            <a:schemeClr val="accent1"/>
          </a:solidFill>
          <a:prstDash val="solid"/>
          <a:miter lim="800000"/>
        </a:ln>
        <a:effectLst>
          <a:outerShdw blurRad="50800" dist="38100" dir="2700000" algn="tl" rotWithShape="0">
            <a:srgbClr val="000000">
              <a:alpha val="43000"/>
            </a:srgbClr>
          </a:outerShdw>
        </a:effectLst>
      </xdr:spPr>
    </xdr:pic>
    <xdr:clientData/>
  </xdr:twoCellAnchor>
  <xdr:twoCellAnchor editAs="oneCell">
    <xdr:from>
      <xdr:col>1</xdr:col>
      <xdr:colOff>76200</xdr:colOff>
      <xdr:row>22</xdr:row>
      <xdr:rowOff>76200</xdr:rowOff>
    </xdr:from>
    <xdr:to>
      <xdr:col>1</xdr:col>
      <xdr:colOff>2728190</xdr:colOff>
      <xdr:row>22</xdr:row>
      <xdr:rowOff>1150620</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rotWithShape="1">
        <a:blip xmlns:r="http://schemas.openxmlformats.org/officeDocument/2006/relationships" r:embed="rId2"/>
        <a:srcRect t="32382" b="17444"/>
        <a:stretch/>
      </xdr:blipFill>
      <xdr:spPr>
        <a:xfrm>
          <a:off x="685800" y="4876800"/>
          <a:ext cx="2651990" cy="1074420"/>
        </a:xfrm>
        <a:prstGeom prst="rect">
          <a:avLst/>
        </a:prstGeom>
        <a:ln w="38100" cap="sq">
          <a:solidFill>
            <a:schemeClr val="accent1"/>
          </a:solidFill>
          <a:prstDash val="solid"/>
          <a:miter lim="800000"/>
        </a:ln>
        <a:effectLst>
          <a:outerShdw blurRad="50800" dist="38100" dir="2700000" algn="tl" rotWithShape="0">
            <a:srgbClr val="000000">
              <a:alpha val="43000"/>
            </a:srgbClr>
          </a:outerShdw>
        </a:effectLst>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0000000}" name="Table210" displayName="Table210" ref="A5:D41" totalsRowShown="0" headerRowDxfId="152">
  <autoFilter ref="A5:D41" xr:uid="{00000000-0009-0000-0100-000009000000}"/>
  <tableColumns count="4">
    <tableColumn id="1" xr3:uid="{00000000-0010-0000-0000-000001000000}" name="Test Case"/>
    <tableColumn id="2" xr3:uid="{00000000-0010-0000-0000-000002000000}" name="Result"/>
    <tableColumn id="4" xr3:uid="{00000000-0010-0000-0000-000004000000}" name="UL Review" dataDxfId="151"/>
    <tableColumn id="3" xr3:uid="{00000000-0010-0000-0000-000003000000}" name="Assigned to"/>
  </tableColumns>
  <tableStyleInfo name="TableStyle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1000000}" name="Table21011" displayName="Table21011" ref="A1:N21" totalsRowShown="0" headerRowDxfId="132">
  <autoFilter ref="A1:N21" xr:uid="{00000000-0009-0000-0100-00000A000000}"/>
  <tableColumns count="14">
    <tableColumn id="1" xr3:uid="{00000000-0010-0000-0100-000001000000}" name="Test Case"/>
    <tableColumn id="2" xr3:uid="{00000000-0010-0000-0100-000002000000}" name="Result"/>
    <tableColumn id="4" xr3:uid="{00000000-0010-0000-0100-000004000000}" name="UL Review" dataDxfId="131"/>
    <tableColumn id="3" xr3:uid="{00000000-0010-0000-0100-000003000000}" name="Assigned to"/>
    <tableColumn id="5" xr3:uid="{00000000-0010-0000-0100-000005000000}" name="TVR"/>
    <tableColumn id="6" xr3:uid="{00000000-0010-0000-0100-000006000000}" name="Unpredictable number"/>
    <tableColumn id="7" xr3:uid="{00000000-0010-0000-0100-000007000000}" name="amount"/>
    <tableColumn id="8" xr3:uid="{00000000-0010-0000-0100-000008000000}" name="Credit/Debit"/>
    <tableColumn id="9" xr3:uid="{00000000-0010-0000-0100-000009000000}" name="approved/Decline"/>
    <tableColumn id="10" xr3:uid="{00000000-0010-0000-0100-00000A000000}" name="CVM perfomred"/>
    <tableColumn id="11" xr3:uid="{00000000-0010-0000-0100-00000B000000}" name="TX ID"/>
    <tableColumn id="12" xr3:uid="{00000000-0010-0000-0100-00000C000000}" name="POS entry Mode"/>
    <tableColumn id="13" xr3:uid="{00000000-0010-0000-0100-00000D000000}" name="9F 33"/>
    <tableColumn id="14" xr3:uid="{00000000-0010-0000-0100-00000E000000}" name="PAN"/>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02000000}" name="Table2101118" displayName="Table2101118" ref="A1:M33" totalsRowShown="0" headerRowDxfId="112" dataDxfId="111">
  <autoFilter ref="A1:M33" xr:uid="{00000000-0009-0000-0100-000011000000}"/>
  <tableColumns count="13">
    <tableColumn id="1" xr3:uid="{00000000-0010-0000-0200-000001000000}" name="Test Case" dataDxfId="110"/>
    <tableColumn id="2" xr3:uid="{00000000-0010-0000-0200-000002000000}" name="Result" dataDxfId="109"/>
    <tableColumn id="4" xr3:uid="{00000000-0010-0000-0200-000004000000}" name="UL Review" dataDxfId="108"/>
    <tableColumn id="3" xr3:uid="{00000000-0010-0000-0200-000003000000}" name="Assigned to" dataDxfId="107"/>
    <tableColumn id="5" xr3:uid="{00000000-0010-0000-0200-000005000000}" name="TVR" dataDxfId="106"/>
    <tableColumn id="6" xr3:uid="{00000000-0010-0000-0200-000006000000}" name="Unpredictable number" dataDxfId="105"/>
    <tableColumn id="7" xr3:uid="{00000000-0010-0000-0200-000007000000}" name="amount" dataDxfId="104"/>
    <tableColumn id="8" xr3:uid="{00000000-0010-0000-0200-000008000000}" name="Credit/Debit" dataDxfId="103"/>
    <tableColumn id="9" xr3:uid="{00000000-0010-0000-0200-000009000000}" name="approved/Decline" dataDxfId="102"/>
    <tableColumn id="10" xr3:uid="{00000000-0010-0000-0200-00000A000000}" name="CVM perfomred" dataDxfId="101"/>
    <tableColumn id="11" xr3:uid="{00000000-0010-0000-0200-00000B000000}" name="TX ID" dataDxfId="100"/>
    <tableColumn id="12" xr3:uid="{00000000-0010-0000-0200-00000C000000}" name="POS entry Mode" dataDxfId="99"/>
    <tableColumn id="13" xr3:uid="{00000000-0010-0000-0200-00000D000000}" name="9F 33" dataDxfId="98"/>
  </tableColumns>
  <tableStyleInfo name="TableStyle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3000000}" name="Table3" displayName="Table3" ref="A1:D42" totalsRowShown="0" headerRowDxfId="91">
  <autoFilter ref="A1:D42" xr:uid="{00000000-0009-0000-0100-000003000000}"/>
  <tableColumns count="4">
    <tableColumn id="1" xr3:uid="{00000000-0010-0000-0300-000001000000}" name="Test Case"/>
    <tableColumn id="2" xr3:uid="{00000000-0010-0000-0300-000002000000}" name="Result"/>
    <tableColumn id="5" xr3:uid="{00000000-0010-0000-0300-000005000000}" name="UL Review" dataDxfId="90"/>
    <tableColumn id="3" xr3:uid="{00000000-0010-0000-0300-000003000000}" name="Assigned to"/>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4000000}" name="Table32" displayName="Table32" ref="A1:D41" totalsRowShown="0" headerRowDxfId="83">
  <autoFilter ref="A1:D41" xr:uid="{00000000-0009-0000-0100-000001000000}"/>
  <tableColumns count="4">
    <tableColumn id="1" xr3:uid="{00000000-0010-0000-0400-000001000000}" name="Test Case"/>
    <tableColumn id="2" xr3:uid="{00000000-0010-0000-0400-000002000000}" name="Result"/>
    <tableColumn id="5" xr3:uid="{00000000-0010-0000-0400-000005000000}" name="UL Review" dataDxfId="82"/>
    <tableColumn id="3" xr3:uid="{00000000-0010-0000-0400-000003000000}" name="Assigned to"/>
  </tableColumns>
  <tableStyleInfo name="TableStyleLight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5000000}" name="Table3219" displayName="Table3219" ref="A5:D21" totalsRowShown="0" headerRowDxfId="75">
  <autoFilter ref="A5:D21" xr:uid="{00000000-0009-0000-0100-000012000000}"/>
  <tableColumns count="4">
    <tableColumn id="1" xr3:uid="{00000000-0010-0000-0500-000001000000}" name="Test Case"/>
    <tableColumn id="2" xr3:uid="{00000000-0010-0000-0500-000002000000}" name="Result"/>
    <tableColumn id="5" xr3:uid="{00000000-0010-0000-0500-000005000000}" name="UL Review" dataDxfId="74"/>
    <tableColumn id="3" xr3:uid="{00000000-0010-0000-0500-000003000000}" name="Assigned to"/>
  </tableColumns>
  <tableStyleInfo name="TableStyleLight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6000000}" name="Table76" displayName="Table76" ref="A1:R79" totalsRowShown="0" headerRowDxfId="70" dataDxfId="69">
  <autoFilter ref="A1:R79" xr:uid="{00000000-0009-0000-0100-000005000000}"/>
  <tableColumns count="18">
    <tableColumn id="1" xr3:uid="{00000000-0010-0000-0600-000001000000}" name="Test Case" dataDxfId="68"/>
    <tableColumn id="2" xr3:uid="{00000000-0010-0000-0600-000002000000}" name="Result" dataDxfId="67"/>
    <tableColumn id="4" xr3:uid="{00000000-0010-0000-0600-000004000000}" name="UL Review" dataDxfId="66"/>
    <tableColumn id="3" xr3:uid="{00000000-0010-0000-0600-000003000000}" name="Assigned to" dataDxfId="65"/>
    <tableColumn id="5" xr3:uid="{00000000-0010-0000-0600-000005000000}" name="TVR" dataDxfId="64"/>
    <tableColumn id="6" xr3:uid="{00000000-0010-0000-0600-000006000000}" name="Unpredictable number" dataDxfId="63"/>
    <tableColumn id="7" xr3:uid="{00000000-0010-0000-0600-000007000000}" name="amount" dataDxfId="62"/>
    <tableColumn id="8" xr3:uid="{00000000-0010-0000-0600-000008000000}" name="Credit/Debit" dataDxfId="61"/>
    <tableColumn id="9" xr3:uid="{00000000-0010-0000-0600-000009000000}" name="approved/Decline" dataDxfId="60"/>
    <tableColumn id="10" xr3:uid="{00000000-0010-0000-0600-00000A000000}" name="CVM perfomred" dataDxfId="59"/>
    <tableColumn id="11" xr3:uid="{00000000-0010-0000-0600-00000B000000}" name="TX ID" dataDxfId="58"/>
    <tableColumn id="12" xr3:uid="{00000000-0010-0000-0600-00000C000000}" name="POS entry Mode" dataDxfId="57"/>
    <tableColumn id="13" xr3:uid="{00000000-0010-0000-0600-00000D000000}" name="9F 33" dataDxfId="56"/>
    <tableColumn id="14" xr3:uid="{00000000-0010-0000-0600-00000E000000}" name="9F 34" dataDxfId="55"/>
    <tableColumn id="15" xr3:uid="{00000000-0010-0000-0600-00000F000000}" name="Column1" dataDxfId="54"/>
    <tableColumn id="16" xr3:uid="{00000000-0010-0000-0600-000010000000}" name="terminal type" dataDxfId="53"/>
    <tableColumn id="17" xr3:uid="{00000000-0010-0000-0600-000011000000}" name="Column2" dataDxfId="52"/>
    <tableColumn id="18" xr3:uid="{00000000-0010-0000-0600-000012000000}" name="Column3" dataDxfId="51"/>
  </tableColumns>
  <tableStyleInfo name="TableStyleLight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7000000}" name="Table7" displayName="Table7" ref="A1:O11" totalsRowShown="0" headerRowDxfId="44">
  <autoFilter ref="A1:O11" xr:uid="{00000000-0009-0000-0100-000007000000}"/>
  <tableColumns count="15">
    <tableColumn id="1" xr3:uid="{00000000-0010-0000-0700-000001000000}" name="Test Case"/>
    <tableColumn id="2" xr3:uid="{00000000-0010-0000-0700-000002000000}" name="Result"/>
    <tableColumn id="4" xr3:uid="{00000000-0010-0000-0700-000004000000}" name="UL Notes"/>
    <tableColumn id="3" xr3:uid="{00000000-0010-0000-0700-000003000000}" name="Assigned to"/>
    <tableColumn id="5" xr3:uid="{00000000-0010-0000-0700-000005000000}" name="TVR"/>
    <tableColumn id="6" xr3:uid="{00000000-0010-0000-0700-000006000000}" name="Unpredictable number"/>
    <tableColumn id="7" xr3:uid="{00000000-0010-0000-0700-000007000000}" name="amount"/>
    <tableColumn id="8" xr3:uid="{00000000-0010-0000-0700-000008000000}" name="Credit/Debit"/>
    <tableColumn id="9" xr3:uid="{00000000-0010-0000-0700-000009000000}" name="approved/Decline"/>
    <tableColumn id="10" xr3:uid="{00000000-0010-0000-0700-00000A000000}" name="CVM perfomred"/>
    <tableColumn id="11" xr3:uid="{00000000-0010-0000-0700-00000B000000}" name="TX ID"/>
    <tableColumn id="12" xr3:uid="{00000000-0010-0000-0700-00000C000000}" name="POS entry Mode"/>
    <tableColumn id="13" xr3:uid="{00000000-0010-0000-0700-00000D000000}" name="9F 33"/>
    <tableColumn id="14" xr3:uid="{00000000-0010-0000-0700-00000E000000}" name="PAN"/>
    <tableColumn id="15" xr3:uid="{00000000-0010-0000-0700-00000F000000}" name="Column1"/>
  </tableColumns>
  <tableStyleInfo name="TableStyleLight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8000000}" name="Table6" displayName="Table6" ref="A1:P13" totalsRowShown="0" headerRowDxfId="37">
  <autoFilter ref="A1:P13" xr:uid="{00000000-0009-0000-0100-000006000000}"/>
  <tableColumns count="16">
    <tableColumn id="1" xr3:uid="{00000000-0010-0000-0800-000001000000}" name="Test Case"/>
    <tableColumn id="2" xr3:uid="{00000000-0010-0000-0800-000002000000}" name="Result"/>
    <tableColumn id="5" xr3:uid="{00000000-0010-0000-0800-000005000000}" name="UL Review" dataDxfId="36"/>
    <tableColumn id="3" xr3:uid="{00000000-0010-0000-0800-000003000000}" name="Assigned to"/>
    <tableColumn id="4" xr3:uid="{00000000-0010-0000-0800-000004000000}" name="TVR"/>
    <tableColumn id="6" xr3:uid="{00000000-0010-0000-0800-000006000000}" name="Unpredictable number"/>
    <tableColumn id="7" xr3:uid="{00000000-0010-0000-0800-000007000000}" name="amount"/>
    <tableColumn id="8" xr3:uid="{00000000-0010-0000-0800-000008000000}" name="Credit/Debit"/>
    <tableColumn id="9" xr3:uid="{00000000-0010-0000-0800-000009000000}" name="approved/Decline"/>
    <tableColumn id="10" xr3:uid="{00000000-0010-0000-0800-00000A000000}" name="CVM perfomred"/>
    <tableColumn id="11" xr3:uid="{00000000-0010-0000-0800-00000B000000}" name="TX ID"/>
    <tableColumn id="12" xr3:uid="{00000000-0010-0000-0800-00000C000000}" name="POS entry Mode"/>
    <tableColumn id="13" xr3:uid="{00000000-0010-0000-0800-00000D000000}" name="9F 33"/>
    <tableColumn id="14" xr3:uid="{00000000-0010-0000-0800-00000E000000}" name="PAN"/>
    <tableColumn id="15" xr3:uid="{00000000-0010-0000-0800-00000F000000}" name="Column1"/>
    <tableColumn id="16" xr3:uid="{00000000-0010-0000-0800-000010000000}" name="Column2"/>
  </tableColumns>
  <tableStyleInfo name="TableStyleLight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9000000}" name="Table8" displayName="Table8" ref="A1:O6" totalsRowShown="0" headerRowDxfId="29">
  <autoFilter ref="A1:O6" xr:uid="{00000000-0009-0000-0100-000008000000}"/>
  <tableColumns count="15">
    <tableColumn id="1" xr3:uid="{00000000-0010-0000-0900-000001000000}" name="Test Case"/>
    <tableColumn id="2" xr3:uid="{00000000-0010-0000-0900-000002000000}" name="Result"/>
    <tableColumn id="4" xr3:uid="{00000000-0010-0000-0900-000004000000}" name="UL Review" dataDxfId="28"/>
    <tableColumn id="3" xr3:uid="{00000000-0010-0000-0900-000003000000}" name="Assigned to"/>
    <tableColumn id="5" xr3:uid="{00000000-0010-0000-0900-000005000000}" name="TVR"/>
    <tableColumn id="6" xr3:uid="{00000000-0010-0000-0900-000006000000}" name="Unpredictable number"/>
    <tableColumn id="7" xr3:uid="{00000000-0010-0000-0900-000007000000}" name="amount"/>
    <tableColumn id="8" xr3:uid="{00000000-0010-0000-0900-000008000000}" name="Credit/Debit"/>
    <tableColumn id="9" xr3:uid="{00000000-0010-0000-0900-000009000000}" name="approved/Decline"/>
    <tableColumn id="10" xr3:uid="{00000000-0010-0000-0900-00000A000000}" name="CVM perfomred"/>
    <tableColumn id="11" xr3:uid="{00000000-0010-0000-0900-00000B000000}" name="TX ID"/>
    <tableColumn id="12" xr3:uid="{00000000-0010-0000-0900-00000C000000}" name="POS entry Mode"/>
    <tableColumn id="13" xr3:uid="{00000000-0010-0000-0900-00000D000000}" name="9F 33"/>
    <tableColumn id="14" xr3:uid="{00000000-0010-0000-0900-00000E000000}" name="PAN"/>
    <tableColumn id="15" xr3:uid="{00000000-0010-0000-0900-00000F000000}" name="Column1"/>
  </tableColumns>
  <tableStyleInfo name="TableStyleLight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A000000}" name="Table4" displayName="Table4" ref="A5:D64" totalsRowShown="0" headerRowDxfId="21">
  <autoFilter ref="A5:D64" xr:uid="{00000000-0009-0000-0100-000004000000}"/>
  <tableColumns count="4">
    <tableColumn id="1" xr3:uid="{00000000-0010-0000-0A00-000001000000}" name="Test Case"/>
    <tableColumn id="2" xr3:uid="{00000000-0010-0000-0A00-000002000000}" name="Result"/>
    <tableColumn id="4" xr3:uid="{00000000-0010-0000-0A00-000004000000}" name="UL Review" dataDxfId="20"/>
    <tableColumn id="3" xr3:uid="{00000000-0010-0000-0A00-000003000000}" name="Assigned to"/>
  </tableColumns>
  <tableStyleInfo name="TableStyleLight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B000000}" name="Table2" displayName="Table2" ref="A5:D35" totalsRowShown="0" headerRowDxfId="1">
  <autoFilter ref="A5:D35" xr:uid="{00000000-0009-0000-0100-000002000000}"/>
  <tableColumns count="4">
    <tableColumn id="1" xr3:uid="{00000000-0010-0000-0B00-000001000000}" name="Test Case"/>
    <tableColumn id="2" xr3:uid="{00000000-0010-0000-0B00-000002000000}" name="Result"/>
    <tableColumn id="4" xr3:uid="{00000000-0010-0000-0B00-000004000000}" name="UL Review" dataDxfId="0"/>
    <tableColumn id="3" xr3:uid="{00000000-0010-0000-0B00-000003000000}" name="Assigned to"/>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Custom 1">
      <a:dk1>
        <a:sysClr val="windowText" lastClr="000000"/>
      </a:dk1>
      <a:lt1>
        <a:sysClr val="window" lastClr="FFFFFF"/>
      </a:lt1>
      <a:dk2>
        <a:srgbClr val="44546A"/>
      </a:dk2>
      <a:lt2>
        <a:srgbClr val="E7E6E6"/>
      </a:lt2>
      <a:accent1>
        <a:srgbClr val="A8D08D"/>
      </a:accent1>
      <a:accent2>
        <a:srgbClr val="FF9999"/>
      </a:accent2>
      <a:accent3>
        <a:srgbClr val="FFD96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26"/>
  <sheetViews>
    <sheetView showGridLines="0" zoomScaleNormal="100" workbookViewId="0">
      <selection activeCell="H8" sqref="H8"/>
    </sheetView>
  </sheetViews>
  <sheetFormatPr defaultRowHeight="14.5" x14ac:dyDescent="0.35"/>
  <cols>
    <col min="1" max="1" width="17.6328125" customWidth="1"/>
    <col min="2" max="2" width="26" customWidth="1"/>
    <col min="3" max="3" width="21.54296875" bestFit="1" customWidth="1"/>
    <col min="4" max="4" width="10.90625" customWidth="1"/>
    <col min="5" max="5" width="16.36328125" customWidth="1"/>
    <col min="6" max="6" width="24.36328125" customWidth="1"/>
    <col min="7" max="7" width="22.1796875" customWidth="1"/>
    <col min="8" max="8" width="22.54296875" customWidth="1"/>
  </cols>
  <sheetData>
    <row r="1" spans="1:10" ht="48.65" customHeight="1" x14ac:dyDescent="0.35">
      <c r="B1" s="13"/>
      <c r="C1" s="86" t="s">
        <v>286</v>
      </c>
      <c r="D1" s="86"/>
      <c r="E1" s="86"/>
      <c r="F1" s="86"/>
      <c r="G1" s="86"/>
      <c r="H1" s="13" t="s">
        <v>287</v>
      </c>
    </row>
    <row r="2" spans="1:10" x14ac:dyDescent="0.35">
      <c r="B2" s="12"/>
    </row>
    <row r="3" spans="1:10" ht="19.25" customHeight="1" x14ac:dyDescent="0.35">
      <c r="A3" t="s">
        <v>245</v>
      </c>
      <c r="B3" s="20" t="s">
        <v>246</v>
      </c>
      <c r="C3" s="42" t="s">
        <v>349</v>
      </c>
      <c r="E3" t="s">
        <v>269</v>
      </c>
      <c r="F3" s="21" t="s">
        <v>270</v>
      </c>
      <c r="G3" s="45">
        <v>43132</v>
      </c>
      <c r="H3" s="51" t="str">
        <f ca="1">CONCATENATE("Today is ",'Field Options'!D4)</f>
        <v>Today is 11/30/2018</v>
      </c>
    </row>
    <row r="4" spans="1:10" x14ac:dyDescent="0.35">
      <c r="B4" s="14" t="s">
        <v>247</v>
      </c>
      <c r="C4" s="43">
        <v>1648</v>
      </c>
      <c r="F4" s="17"/>
      <c r="G4" s="17" t="s">
        <v>271</v>
      </c>
      <c r="H4" s="17" t="s">
        <v>272</v>
      </c>
    </row>
    <row r="5" spans="1:10" x14ac:dyDescent="0.35">
      <c r="B5" s="14" t="s">
        <v>251</v>
      </c>
      <c r="C5" s="43">
        <v>27346</v>
      </c>
      <c r="F5" s="17" t="s">
        <v>252</v>
      </c>
      <c r="G5" s="46">
        <f>WORKDAY(G3,10,'Field Options'!G$2:G$12)</f>
        <v>43146</v>
      </c>
      <c r="H5" s="44">
        <v>43134</v>
      </c>
    </row>
    <row r="6" spans="1:10" x14ac:dyDescent="0.35">
      <c r="B6" s="14" t="s">
        <v>248</v>
      </c>
      <c r="C6" s="42" t="s">
        <v>254</v>
      </c>
      <c r="F6" s="17" t="s">
        <v>253</v>
      </c>
      <c r="G6" s="46">
        <f>WORKDAY(G5,5,'Field Options'!G$2:G$12)</f>
        <v>43154</v>
      </c>
      <c r="H6" s="44">
        <v>43138</v>
      </c>
    </row>
    <row r="7" spans="1:10" x14ac:dyDescent="0.35">
      <c r="F7" s="17" t="s">
        <v>254</v>
      </c>
      <c r="G7" s="46">
        <f>WORKDAY(G6,45,'Field Options'!G$2:G$12)</f>
        <v>43217</v>
      </c>
      <c r="H7" s="44">
        <v>43276</v>
      </c>
    </row>
    <row r="8" spans="1:10" x14ac:dyDescent="0.35">
      <c r="A8" t="s">
        <v>264</v>
      </c>
      <c r="B8" s="18"/>
      <c r="C8" s="17" t="s">
        <v>268</v>
      </c>
      <c r="F8" s="17" t="s">
        <v>255</v>
      </c>
      <c r="G8" s="46">
        <f>WORKDAY(G7,8,'Field Options'!G$2:G$12)</f>
        <v>43229</v>
      </c>
      <c r="H8" s="44"/>
    </row>
    <row r="9" spans="1:10" x14ac:dyDescent="0.35">
      <c r="B9" s="17" t="s">
        <v>265</v>
      </c>
      <c r="C9" s="43" t="s">
        <v>350</v>
      </c>
      <c r="F9" s="17" t="s">
        <v>256</v>
      </c>
      <c r="G9" s="46">
        <f>WORKDAY(G8,13,'Field Options'!G$2:G$12)</f>
        <v>43249</v>
      </c>
      <c r="H9" s="44"/>
      <c r="J9" t="s">
        <v>316</v>
      </c>
    </row>
    <row r="10" spans="1:10" x14ac:dyDescent="0.35">
      <c r="B10" s="17" t="s">
        <v>266</v>
      </c>
      <c r="C10" s="43" t="s">
        <v>351</v>
      </c>
      <c r="F10" s="17" t="s">
        <v>257</v>
      </c>
      <c r="G10" s="46">
        <f>WORKDAY(G9,5,'Field Options'!G$2:G$12)</f>
        <v>43256</v>
      </c>
      <c r="H10" s="44"/>
      <c r="J10" t="s">
        <v>317</v>
      </c>
    </row>
    <row r="11" spans="1:10" x14ac:dyDescent="0.35">
      <c r="B11" s="17" t="s">
        <v>267</v>
      </c>
      <c r="C11" s="43" t="s">
        <v>352</v>
      </c>
    </row>
    <row r="12" spans="1:10" x14ac:dyDescent="0.35">
      <c r="B12" s="17" t="str">
        <f>C3</f>
        <v>InfoNet</v>
      </c>
      <c r="C12" s="43" t="s">
        <v>353</v>
      </c>
    </row>
    <row r="14" spans="1:10" x14ac:dyDescent="0.35">
      <c r="A14" t="s">
        <v>283</v>
      </c>
      <c r="B14" s="17" t="s">
        <v>284</v>
      </c>
      <c r="C14" s="17" t="s">
        <v>285</v>
      </c>
    </row>
    <row r="15" spans="1:10" x14ac:dyDescent="0.35">
      <c r="B15" s="15" t="s">
        <v>292</v>
      </c>
      <c r="C15" s="43" t="s">
        <v>298</v>
      </c>
    </row>
    <row r="16" spans="1:10" x14ac:dyDescent="0.35">
      <c r="B16" s="15" t="s">
        <v>293</v>
      </c>
      <c r="C16" s="43" t="s">
        <v>299</v>
      </c>
    </row>
    <row r="17" spans="2:7" x14ac:dyDescent="0.35">
      <c r="B17" s="15" t="s">
        <v>294</v>
      </c>
      <c r="C17" s="43" t="s">
        <v>299</v>
      </c>
      <c r="G17" s="11"/>
    </row>
    <row r="18" spans="2:7" x14ac:dyDescent="0.35">
      <c r="B18" s="15" t="s">
        <v>295</v>
      </c>
      <c r="C18" s="43" t="s">
        <v>299</v>
      </c>
    </row>
    <row r="19" spans="2:7" x14ac:dyDescent="0.35">
      <c r="B19" s="15" t="s">
        <v>296</v>
      </c>
      <c r="C19" s="43" t="s">
        <v>299</v>
      </c>
    </row>
    <row r="20" spans="2:7" x14ac:dyDescent="0.35">
      <c r="B20" s="15" t="s">
        <v>288</v>
      </c>
      <c r="C20" s="43" t="s">
        <v>298</v>
      </c>
    </row>
    <row r="21" spans="2:7" x14ac:dyDescent="0.35">
      <c r="B21" s="15" t="s">
        <v>144</v>
      </c>
      <c r="C21" s="43" t="s">
        <v>299</v>
      </c>
    </row>
    <row r="22" spans="2:7" x14ac:dyDescent="0.35">
      <c r="B22" s="15" t="s">
        <v>289</v>
      </c>
      <c r="C22" s="43" t="s">
        <v>299</v>
      </c>
    </row>
    <row r="23" spans="2:7" x14ac:dyDescent="0.35">
      <c r="B23" s="15" t="s">
        <v>290</v>
      </c>
      <c r="C23" s="43" t="s">
        <v>299</v>
      </c>
    </row>
    <row r="24" spans="2:7" x14ac:dyDescent="0.35">
      <c r="B24" s="15" t="s">
        <v>291</v>
      </c>
      <c r="C24" s="43" t="s">
        <v>299</v>
      </c>
    </row>
    <row r="25" spans="2:7" x14ac:dyDescent="0.35">
      <c r="B25" s="15" t="s">
        <v>143</v>
      </c>
      <c r="C25" s="43" t="s">
        <v>298</v>
      </c>
    </row>
    <row r="26" spans="2:7" x14ac:dyDescent="0.35">
      <c r="B26" s="15" t="s">
        <v>76</v>
      </c>
      <c r="C26" s="43" t="s">
        <v>298</v>
      </c>
    </row>
  </sheetData>
  <sheetProtection algorithmName="SHA-512" hashValue="wykWmnmulZplqXEBsjgkB04X7tYasf3UboZKoosuTEDh6Qq5BYMkNDKe3HWfw+52PflD9WNXX2JyFceH7D0Qxg==" saltValue="uom02R6TQH4OAW5C49dDIw==" spinCount="100000" sheet="1" objects="1" scenarios="1"/>
  <protectedRanges>
    <protectedRange sqref="C3:C6 C9:C12 C15:C26 H5:H10" name="Range1"/>
  </protectedRanges>
  <mergeCells count="1">
    <mergeCell ref="C1:G1"/>
  </mergeCells>
  <conditionalFormatting sqref="C15">
    <cfRule type="cellIs" dxfId="175" priority="3" operator="equal">
      <formula>"Please select…"</formula>
    </cfRule>
  </conditionalFormatting>
  <conditionalFormatting sqref="C16:C26">
    <cfRule type="cellIs" dxfId="174" priority="2" operator="equal">
      <formula>"Please select…"</formula>
    </cfRule>
  </conditionalFormatting>
  <pageMargins left="0.7" right="0.7" top="0.75" bottom="0.75" header="0.3" footer="0.3"/>
  <pageSetup orientation="portrait" horizontalDpi="300" verticalDpi="300"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000-000000000000}">
          <x14:formula1>
            <xm:f>'Field Options'!$B$3:$B$8</xm:f>
          </x14:formula1>
          <xm:sqref>C6</xm:sqref>
        </x14:dataValidation>
        <x14:dataValidation type="list" allowBlank="1" showInputMessage="1" showErrorMessage="1" xr:uid="{00000000-0002-0000-0000-000001000000}">
          <x14:formula1>
            <xm:f>'Field Options'!$B$36:$B$38</xm:f>
          </x14:formula1>
          <xm:sqref>C15:C26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B2:E17"/>
  <sheetViews>
    <sheetView workbookViewId="0">
      <selection activeCell="F22" sqref="F22"/>
    </sheetView>
  </sheetViews>
  <sheetFormatPr defaultRowHeight="14.5" x14ac:dyDescent="0.35"/>
  <cols>
    <col min="2" max="2" width="21.54296875" customWidth="1"/>
    <col min="3" max="3" width="9.54296875" customWidth="1"/>
    <col min="5" max="5" width="9.54296875" customWidth="1"/>
  </cols>
  <sheetData>
    <row r="2" spans="2:5" x14ac:dyDescent="0.35">
      <c r="B2" t="s">
        <v>300</v>
      </c>
      <c r="C2" t="s">
        <v>146</v>
      </c>
      <c r="D2" t="s">
        <v>301</v>
      </c>
      <c r="E2" t="s">
        <v>302</v>
      </c>
    </row>
    <row r="3" spans="2:5" x14ac:dyDescent="0.35">
      <c r="B3" t="s">
        <v>303</v>
      </c>
      <c r="C3" s="22">
        <f>Overview!G3</f>
        <v>43132</v>
      </c>
      <c r="D3">
        <f>_xlfn.DAYS(E3,C3)</f>
        <v>14</v>
      </c>
      <c r="E3" s="19">
        <f>Overview!G5</f>
        <v>43146</v>
      </c>
    </row>
    <row r="4" spans="2:5" x14ac:dyDescent="0.35">
      <c r="B4" t="s">
        <v>304</v>
      </c>
      <c r="C4" s="22">
        <f>E3</f>
        <v>43146</v>
      </c>
      <c r="D4">
        <f t="shared" ref="D4:D14" si="0">_xlfn.DAYS(E4,C4)</f>
        <v>8</v>
      </c>
      <c r="E4" s="19">
        <f>Overview!G6</f>
        <v>43154</v>
      </c>
    </row>
    <row r="5" spans="2:5" x14ac:dyDescent="0.35">
      <c r="B5" t="s">
        <v>305</v>
      </c>
      <c r="C5" s="22">
        <f t="shared" ref="C5:C8" si="1">E4</f>
        <v>43154</v>
      </c>
      <c r="D5">
        <f t="shared" si="0"/>
        <v>63</v>
      </c>
      <c r="E5" s="19">
        <f>Overview!G7</f>
        <v>43217</v>
      </c>
    </row>
    <row r="6" spans="2:5" x14ac:dyDescent="0.35">
      <c r="B6" t="s">
        <v>306</v>
      </c>
      <c r="C6" s="22">
        <f t="shared" si="1"/>
        <v>43217</v>
      </c>
      <c r="D6">
        <f t="shared" si="0"/>
        <v>12</v>
      </c>
      <c r="E6" s="19">
        <f>Overview!G8</f>
        <v>43229</v>
      </c>
    </row>
    <row r="7" spans="2:5" x14ac:dyDescent="0.35">
      <c r="B7" t="s">
        <v>307</v>
      </c>
      <c r="C7" s="22">
        <f t="shared" si="1"/>
        <v>43229</v>
      </c>
      <c r="D7">
        <f t="shared" si="0"/>
        <v>20</v>
      </c>
      <c r="E7" s="19">
        <f>Overview!G9</f>
        <v>43249</v>
      </c>
    </row>
    <row r="8" spans="2:5" x14ac:dyDescent="0.35">
      <c r="B8" t="s">
        <v>308</v>
      </c>
      <c r="C8" s="22">
        <f t="shared" si="1"/>
        <v>43249</v>
      </c>
      <c r="D8">
        <f t="shared" si="0"/>
        <v>7</v>
      </c>
      <c r="E8" s="19">
        <f>Overview!G10</f>
        <v>43256</v>
      </c>
    </row>
    <row r="9" spans="2:5" x14ac:dyDescent="0.35">
      <c r="B9" t="s">
        <v>309</v>
      </c>
      <c r="C9" s="19">
        <f>C3</f>
        <v>43132</v>
      </c>
      <c r="D9">
        <f t="shared" si="0"/>
        <v>2</v>
      </c>
      <c r="E9" s="19">
        <f>Overview!H5</f>
        <v>43134</v>
      </c>
    </row>
    <row r="10" spans="2:5" x14ac:dyDescent="0.35">
      <c r="B10" t="s">
        <v>310</v>
      </c>
      <c r="C10" s="19">
        <f>E9</f>
        <v>43134</v>
      </c>
      <c r="D10">
        <f t="shared" si="0"/>
        <v>4</v>
      </c>
      <c r="E10" s="19">
        <f>Overview!H6</f>
        <v>43138</v>
      </c>
    </row>
    <row r="11" spans="2:5" x14ac:dyDescent="0.35">
      <c r="B11" t="s">
        <v>311</v>
      </c>
      <c r="C11" s="19">
        <f t="shared" ref="C11:C14" si="2">E10</f>
        <v>43138</v>
      </c>
      <c r="D11">
        <f t="shared" si="0"/>
        <v>138</v>
      </c>
      <c r="E11" s="19">
        <f>Overview!H7</f>
        <v>43276</v>
      </c>
    </row>
    <row r="12" spans="2:5" x14ac:dyDescent="0.35">
      <c r="B12" t="s">
        <v>312</v>
      </c>
      <c r="C12" s="19">
        <f t="shared" si="2"/>
        <v>43276</v>
      </c>
      <c r="D12">
        <f t="shared" si="0"/>
        <v>-43276</v>
      </c>
      <c r="E12" s="19">
        <f>Overview!H8</f>
        <v>0</v>
      </c>
    </row>
    <row r="13" spans="2:5" x14ac:dyDescent="0.35">
      <c r="B13" t="s">
        <v>313</v>
      </c>
      <c r="C13" s="19">
        <f t="shared" si="2"/>
        <v>0</v>
      </c>
      <c r="D13">
        <f t="shared" si="0"/>
        <v>0</v>
      </c>
      <c r="E13" s="19">
        <f>Overview!H9</f>
        <v>0</v>
      </c>
    </row>
    <row r="14" spans="2:5" x14ac:dyDescent="0.35">
      <c r="B14" t="s">
        <v>314</v>
      </c>
      <c r="C14" s="19">
        <f t="shared" si="2"/>
        <v>0</v>
      </c>
      <c r="D14">
        <f t="shared" si="0"/>
        <v>0</v>
      </c>
      <c r="E14" s="19">
        <f>Overview!H10</f>
        <v>0</v>
      </c>
    </row>
    <row r="16" spans="2:5" x14ac:dyDescent="0.35">
      <c r="B16" t="s">
        <v>147</v>
      </c>
      <c r="C16" s="10">
        <f ca="1">TODAY()</f>
        <v>43434</v>
      </c>
    </row>
    <row r="17" spans="3:3" x14ac:dyDescent="0.35">
      <c r="C17" s="10">
        <f ca="1">TODAY()</f>
        <v>43434</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N20"/>
  <sheetViews>
    <sheetView showGridLines="0" zoomScaleNormal="100" workbookViewId="0">
      <selection activeCell="F5" sqref="F5"/>
    </sheetView>
  </sheetViews>
  <sheetFormatPr defaultRowHeight="14.5" x14ac:dyDescent="0.35"/>
  <cols>
    <col min="1" max="1" width="26" customWidth="1"/>
    <col min="2" max="2" width="9.08984375" style="24" customWidth="1"/>
    <col min="3" max="3" width="8.81640625" style="24" customWidth="1"/>
    <col min="4" max="4" width="9.81640625" style="24" customWidth="1"/>
    <col min="5" max="5" width="8.81640625" style="24" customWidth="1"/>
    <col min="6" max="6" width="28.453125" customWidth="1"/>
    <col min="7" max="7" width="8.1796875" style="59" customWidth="1"/>
    <col min="8" max="8" width="8.08984375" style="59" customWidth="1"/>
    <col min="9" max="9" width="11.453125" style="59" customWidth="1"/>
    <col min="10" max="10" width="8.90625" style="59" customWidth="1"/>
    <col min="11" max="11" width="17.90625" style="59" customWidth="1"/>
    <col min="12" max="12" width="5" style="59" customWidth="1"/>
    <col min="13" max="13" width="21.453125" style="59" customWidth="1"/>
    <col min="14" max="14" width="4.81640625" style="59" customWidth="1"/>
  </cols>
  <sheetData>
    <row r="1" spans="1:14" ht="23.4" customHeight="1" x14ac:dyDescent="0.35">
      <c r="A1" s="25" t="s">
        <v>284</v>
      </c>
      <c r="B1" s="26" t="s">
        <v>1</v>
      </c>
      <c r="C1" s="27" t="s">
        <v>2</v>
      </c>
      <c r="D1" s="28" t="s">
        <v>3</v>
      </c>
      <c r="E1" s="29" t="s">
        <v>318</v>
      </c>
      <c r="F1" s="39" t="s">
        <v>320</v>
      </c>
      <c r="G1" s="52" t="s">
        <v>1</v>
      </c>
      <c r="H1" s="53" t="e">
        <f>B16</f>
        <v>#REF!</v>
      </c>
      <c r="I1" s="54" t="s">
        <v>321</v>
      </c>
      <c r="J1" s="55" t="e">
        <f>B17</f>
        <v>#REF!</v>
      </c>
      <c r="K1" s="56" t="s">
        <v>323</v>
      </c>
      <c r="L1" s="57">
        <f ca="1">B19</f>
        <v>206</v>
      </c>
      <c r="M1" s="54" t="s">
        <v>324</v>
      </c>
      <c r="N1" s="58">
        <f ca="1">B20</f>
        <v>-160</v>
      </c>
    </row>
    <row r="2" spans="1:14" hidden="1" x14ac:dyDescent="0.35">
      <c r="A2" s="30" t="s">
        <v>292</v>
      </c>
      <c r="B2" s="31">
        <f>'AMEX CT'!B1*F2</f>
        <v>0</v>
      </c>
      <c r="C2" s="32">
        <f>'AMEX CT'!B2*F2</f>
        <v>0</v>
      </c>
      <c r="D2" s="33">
        <f>'AMEX CT'!B3*F2</f>
        <v>0</v>
      </c>
      <c r="E2" s="34">
        <f>'AMEX CT'!B4*F2</f>
        <v>0</v>
      </c>
      <c r="F2" s="39">
        <f>IF(Overview!C15="Yes",1,0)</f>
        <v>0</v>
      </c>
    </row>
    <row r="3" spans="1:14" x14ac:dyDescent="0.35">
      <c r="A3" s="30" t="s">
        <v>293</v>
      </c>
      <c r="B3" s="31" t="e">
        <f>'AMEX CTL'!#REF!*F3</f>
        <v>#REF!</v>
      </c>
      <c r="C3" s="32" t="e">
        <f>'AMEX CTL'!#REF!*F3</f>
        <v>#REF!</v>
      </c>
      <c r="D3" s="33" t="e">
        <f>'AMEX CTL'!#REF!*F3</f>
        <v>#REF!</v>
      </c>
      <c r="E3" s="34" t="e">
        <f>'AMEX CTL'!#REF!*F3</f>
        <v>#REF!</v>
      </c>
      <c r="F3" s="39">
        <f>IF(Overview!C16="Yes",1,0)</f>
        <v>1</v>
      </c>
    </row>
    <row r="4" spans="1:14" x14ac:dyDescent="0.35">
      <c r="A4" s="30" t="s">
        <v>294</v>
      </c>
      <c r="B4" s="31" t="e">
        <f>'AMEX QC'!#REF!*F4</f>
        <v>#REF!</v>
      </c>
      <c r="C4" s="32" t="e">
        <f>'AMEX QC'!#REF!*F4</f>
        <v>#REF!</v>
      </c>
      <c r="D4" s="33" t="e">
        <f>'AMEX QC'!#REF!*F4</f>
        <v>#REF!</v>
      </c>
      <c r="E4" s="34" t="e">
        <f>'AMEX QC'!#REF!*F4</f>
        <v>#REF!</v>
      </c>
      <c r="F4" s="39">
        <f>IF(Overview!C17="Yes",1,0)</f>
        <v>1</v>
      </c>
    </row>
    <row r="5" spans="1:14" x14ac:dyDescent="0.35">
      <c r="A5" s="30" t="s">
        <v>295</v>
      </c>
      <c r="B5" s="31" t="e">
        <f>'Discover CT'!#REF!*F5</f>
        <v>#REF!</v>
      </c>
      <c r="C5" s="32" t="e">
        <f>'Discover CT'!#REF!*F5</f>
        <v>#REF!</v>
      </c>
      <c r="D5" s="33" t="e">
        <f>'Discover CT'!#REF!*F5</f>
        <v>#REF!</v>
      </c>
      <c r="E5" s="34" t="e">
        <f>'Discover CT'!#REF!*F5</f>
        <v>#REF!</v>
      </c>
      <c r="F5" s="39">
        <f>IF(Overview!C18="Yes",1,0)</f>
        <v>1</v>
      </c>
    </row>
    <row r="6" spans="1:14" x14ac:dyDescent="0.35">
      <c r="A6" s="30" t="s">
        <v>296</v>
      </c>
      <c r="B6" s="31" t="e">
        <f>'Discover CTL'!#REF!*F6</f>
        <v>#REF!</v>
      </c>
      <c r="C6" s="32" t="e">
        <f>'Discover CTL'!#REF!*F6</f>
        <v>#REF!</v>
      </c>
      <c r="D6" s="33" t="e">
        <f>'Discover CTL'!#REF!*F6</f>
        <v>#REF!</v>
      </c>
      <c r="E6" s="34" t="e">
        <f>'Discover CTL'!#REF!*F6</f>
        <v>#REF!</v>
      </c>
      <c r="F6" s="39">
        <f>IF(Overview!C19="Yes",1,0)</f>
        <v>1</v>
      </c>
    </row>
    <row r="7" spans="1:14" hidden="1" x14ac:dyDescent="0.35">
      <c r="A7" s="30" t="s">
        <v>288</v>
      </c>
      <c r="B7" s="31">
        <f>'FD Superset'!B1*F7</f>
        <v>0</v>
      </c>
      <c r="C7" s="32">
        <f>'FD Superset'!B2*F7</f>
        <v>0</v>
      </c>
      <c r="D7" s="33">
        <f>'FD Superset'!B3*F7</f>
        <v>0</v>
      </c>
      <c r="E7" s="34">
        <f>'FD Superset'!B4*F7</f>
        <v>0</v>
      </c>
      <c r="F7" s="39">
        <f>IF(Overview!C20="Yes",1,0)</f>
        <v>0</v>
      </c>
    </row>
    <row r="8" spans="1:14" x14ac:dyDescent="0.35">
      <c r="A8" s="30" t="s">
        <v>144</v>
      </c>
      <c r="B8" s="31" t="e">
        <f>MasterCard!#REF!*F8</f>
        <v>#REF!</v>
      </c>
      <c r="C8" s="32" t="e">
        <f>MasterCard!#REF!*F8</f>
        <v>#REF!</v>
      </c>
      <c r="D8" s="33" t="e">
        <f>MasterCard!#REF!*F8</f>
        <v>#REF!</v>
      </c>
      <c r="E8" s="34" t="e">
        <f>MasterCard!#REF!*F8</f>
        <v>#REF!</v>
      </c>
      <c r="F8" s="39">
        <f>IF(Overview!C21="Yes",1,0)</f>
        <v>1</v>
      </c>
    </row>
    <row r="9" spans="1:14" x14ac:dyDescent="0.35">
      <c r="A9" s="30" t="s">
        <v>289</v>
      </c>
      <c r="B9" s="31" t="e">
        <f>'VISA CT'!#REF!*F9</f>
        <v>#REF!</v>
      </c>
      <c r="C9" s="32" t="e">
        <f>'VISA CT'!#REF!*F9</f>
        <v>#REF!</v>
      </c>
      <c r="D9" s="33" t="e">
        <f>'VISA CT'!#REF!*F9</f>
        <v>#REF!</v>
      </c>
      <c r="E9" s="34" t="e">
        <f>'VISA CT'!#REF!*F9</f>
        <v>#REF!</v>
      </c>
      <c r="F9" s="39">
        <f>IF(Overview!C22="Yes",1,0)</f>
        <v>1</v>
      </c>
    </row>
    <row r="10" spans="1:14" x14ac:dyDescent="0.35">
      <c r="A10" s="30" t="s">
        <v>290</v>
      </c>
      <c r="B10" s="31" t="e">
        <f>'VISA CTL'!#REF!*F10</f>
        <v>#REF!</v>
      </c>
      <c r="C10" s="32" t="e">
        <f>'VISA CTL'!#REF!*F10</f>
        <v>#REF!</v>
      </c>
      <c r="D10" s="33" t="e">
        <f>'VISA CTL'!#REF!*F10</f>
        <v>#REF!</v>
      </c>
      <c r="E10" s="34" t="e">
        <f>'VISA CTL'!#REF!*F10</f>
        <v>#REF!</v>
      </c>
      <c r="F10" s="39">
        <f>IF(Overview!C23="Yes",1,0)</f>
        <v>1</v>
      </c>
    </row>
    <row r="11" spans="1:14" x14ac:dyDescent="0.35">
      <c r="A11" s="30" t="s">
        <v>291</v>
      </c>
      <c r="B11" s="31" t="e">
        <f>'VISA US Debit'!#REF!*F11</f>
        <v>#REF!</v>
      </c>
      <c r="C11" s="32" t="e">
        <f>'VISA US Debit'!#REF!*F11</f>
        <v>#REF!</v>
      </c>
      <c r="D11" s="33" t="e">
        <f>'VISA US Debit'!#REF!*F11</f>
        <v>#REF!</v>
      </c>
      <c r="E11" s="34" t="e">
        <f>'VISA US Debit'!#REF!*F11</f>
        <v>#REF!</v>
      </c>
      <c r="F11" s="39">
        <f>IF(Overview!C24="Yes",1,0)</f>
        <v>1</v>
      </c>
    </row>
    <row r="12" spans="1:14" hidden="1" x14ac:dyDescent="0.35">
      <c r="A12" s="30" t="s">
        <v>143</v>
      </c>
      <c r="B12" s="31">
        <f>Interac!B1*F12</f>
        <v>0</v>
      </c>
      <c r="C12" s="32">
        <f>Interac!B2*F12</f>
        <v>0</v>
      </c>
      <c r="D12" s="33">
        <f>Interac!B3*F12</f>
        <v>0</v>
      </c>
      <c r="E12" s="34">
        <f>Interac!B4*F12</f>
        <v>0</v>
      </c>
      <c r="F12" s="39">
        <f>IF(Overview!C25="Yes",1,0)</f>
        <v>0</v>
      </c>
    </row>
    <row r="13" spans="1:14" hidden="1" x14ac:dyDescent="0.35">
      <c r="A13" s="23" t="s">
        <v>76</v>
      </c>
      <c r="B13" s="35">
        <f>DNA!B1*F13</f>
        <v>0</v>
      </c>
      <c r="C13" s="36">
        <f>DNA!B2*F13</f>
        <v>0</v>
      </c>
      <c r="D13" s="37">
        <f>DNA!B3*F13</f>
        <v>0</v>
      </c>
      <c r="E13" s="38">
        <f>DNA!B4*F13</f>
        <v>0</v>
      </c>
      <c r="F13" s="39">
        <f>IF(Overview!C26="Yes",1,0)</f>
        <v>0</v>
      </c>
    </row>
    <row r="14" spans="1:14" x14ac:dyDescent="0.35">
      <c r="G14" s="60"/>
    </row>
    <row r="16" spans="1:14" x14ac:dyDescent="0.35">
      <c r="A16" t="s">
        <v>1</v>
      </c>
      <c r="B16" s="40" t="e">
        <f>SUM(B$2:B$13)/SUM(E$2:E$13)</f>
        <v>#REF!</v>
      </c>
    </row>
    <row r="17" spans="1:2" x14ac:dyDescent="0.35">
      <c r="A17" t="s">
        <v>321</v>
      </c>
      <c r="B17" s="40" t="e">
        <f>1-B16</f>
        <v>#REF!</v>
      </c>
    </row>
    <row r="19" spans="1:2" x14ac:dyDescent="0.35">
      <c r="A19" t="s">
        <v>148</v>
      </c>
      <c r="B19" s="41">
        <f ca="1">NETWORKDAYS(Overview!H6,TODAY(),'Field Options'!G2:G12)</f>
        <v>206</v>
      </c>
    </row>
    <row r="20" spans="1:2" x14ac:dyDescent="0.35">
      <c r="A20" t="s">
        <v>149</v>
      </c>
      <c r="B20" s="41">
        <f ca="1">NETWORKDAYS(TODAY(),Overview!G7,'Field Options'!G2:G12)-10</f>
        <v>-160</v>
      </c>
    </row>
  </sheetData>
  <pageMargins left="0.7" right="0.7" top="0.75" bottom="0.75" header="0.3" footer="0.3"/>
  <pageSetup orientation="portrait" horizontalDpi="300" verticalDpi="3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B2:H38"/>
  <sheetViews>
    <sheetView workbookViewId="0">
      <selection activeCell="H12" sqref="H12"/>
    </sheetView>
  </sheetViews>
  <sheetFormatPr defaultRowHeight="14.5" x14ac:dyDescent="0.35"/>
  <cols>
    <col min="2" max="2" width="26.08984375" customWidth="1"/>
    <col min="3" max="3" width="8.1796875" customWidth="1"/>
    <col min="4" max="4" width="20.36328125" customWidth="1"/>
    <col min="6" max="6" width="20.81640625" bestFit="1" customWidth="1"/>
    <col min="7" max="7" width="10.54296875" customWidth="1"/>
    <col min="8" max="8" width="19.453125" customWidth="1"/>
  </cols>
  <sheetData>
    <row r="2" spans="2:8" x14ac:dyDescent="0.35">
      <c r="B2" s="16" t="s">
        <v>248</v>
      </c>
      <c r="D2" s="16" t="s">
        <v>147</v>
      </c>
      <c r="F2" s="16" t="s">
        <v>273</v>
      </c>
      <c r="G2" s="19">
        <v>43101</v>
      </c>
      <c r="H2" t="s">
        <v>274</v>
      </c>
    </row>
    <row r="3" spans="2:8" x14ac:dyDescent="0.35">
      <c r="B3" t="s">
        <v>252</v>
      </c>
      <c r="D3" s="10">
        <f ca="1">TODAY()</f>
        <v>43434</v>
      </c>
      <c r="G3" s="19">
        <v>43115</v>
      </c>
      <c r="H3" t="s">
        <v>275</v>
      </c>
    </row>
    <row r="4" spans="2:8" x14ac:dyDescent="0.35">
      <c r="B4" t="s">
        <v>253</v>
      </c>
      <c r="D4" t="str">
        <f ca="1">TEXT(D3,"MM/DD/YYYY")</f>
        <v>11/30/2018</v>
      </c>
      <c r="G4" s="19">
        <v>43248</v>
      </c>
      <c r="H4" t="s">
        <v>276</v>
      </c>
    </row>
    <row r="5" spans="2:8" x14ac:dyDescent="0.35">
      <c r="B5" t="s">
        <v>254</v>
      </c>
      <c r="G5" s="19">
        <v>43285</v>
      </c>
      <c r="H5" t="s">
        <v>277</v>
      </c>
    </row>
    <row r="6" spans="2:8" x14ac:dyDescent="0.35">
      <c r="B6" t="s">
        <v>255</v>
      </c>
      <c r="G6" s="19">
        <v>43346</v>
      </c>
      <c r="H6" t="s">
        <v>278</v>
      </c>
    </row>
    <row r="7" spans="2:8" x14ac:dyDescent="0.35">
      <c r="B7" t="s">
        <v>256</v>
      </c>
      <c r="G7" s="19">
        <v>43426</v>
      </c>
      <c r="H7" t="s">
        <v>279</v>
      </c>
    </row>
    <row r="8" spans="2:8" x14ac:dyDescent="0.35">
      <c r="B8" t="s">
        <v>257</v>
      </c>
      <c r="G8" s="19">
        <v>43427</v>
      </c>
      <c r="H8" t="s">
        <v>280</v>
      </c>
    </row>
    <row r="9" spans="2:8" x14ac:dyDescent="0.35">
      <c r="G9" s="19">
        <v>43458</v>
      </c>
      <c r="H9" t="s">
        <v>281</v>
      </c>
    </row>
    <row r="10" spans="2:8" x14ac:dyDescent="0.35">
      <c r="B10" s="16" t="s">
        <v>249</v>
      </c>
      <c r="G10" s="19">
        <v>43459</v>
      </c>
      <c r="H10" t="s">
        <v>282</v>
      </c>
    </row>
    <row r="11" spans="2:8" x14ac:dyDescent="0.35">
      <c r="B11" t="s">
        <v>258</v>
      </c>
      <c r="F11" s="16" t="s">
        <v>346</v>
      </c>
      <c r="G11" s="19">
        <v>43150</v>
      </c>
      <c r="H11" t="s">
        <v>347</v>
      </c>
    </row>
    <row r="12" spans="2:8" x14ac:dyDescent="0.35">
      <c r="B12" t="s">
        <v>259</v>
      </c>
      <c r="G12" s="19">
        <v>43416</v>
      </c>
      <c r="H12" t="s">
        <v>348</v>
      </c>
    </row>
    <row r="13" spans="2:8" x14ac:dyDescent="0.35">
      <c r="B13" t="s">
        <v>260</v>
      </c>
      <c r="G13" s="19"/>
    </row>
    <row r="14" spans="2:8" x14ac:dyDescent="0.35">
      <c r="G14" s="19"/>
    </row>
    <row r="15" spans="2:8" x14ac:dyDescent="0.35">
      <c r="B15" s="16" t="s">
        <v>250</v>
      </c>
      <c r="G15" s="19"/>
    </row>
    <row r="16" spans="2:8" x14ac:dyDescent="0.35">
      <c r="B16" t="s">
        <v>262</v>
      </c>
      <c r="G16" s="19"/>
    </row>
    <row r="17" spans="2:7" x14ac:dyDescent="0.35">
      <c r="B17" t="s">
        <v>261</v>
      </c>
      <c r="G17" s="19"/>
    </row>
    <row r="18" spans="2:7" x14ac:dyDescent="0.35">
      <c r="B18" t="s">
        <v>263</v>
      </c>
      <c r="G18" s="19"/>
    </row>
    <row r="19" spans="2:7" x14ac:dyDescent="0.35">
      <c r="G19" s="19"/>
    </row>
    <row r="35" spans="2:2" x14ac:dyDescent="0.35">
      <c r="B35" s="16" t="s">
        <v>297</v>
      </c>
    </row>
    <row r="36" spans="2:2" x14ac:dyDescent="0.35">
      <c r="B36" t="s">
        <v>299</v>
      </c>
    </row>
    <row r="37" spans="2:2" x14ac:dyDescent="0.35">
      <c r="B37" t="s">
        <v>298</v>
      </c>
    </row>
    <row r="38" spans="2:2" x14ac:dyDescent="0.35">
      <c r="B38" t="s">
        <v>319</v>
      </c>
    </row>
  </sheetData>
  <pageMargins left="0.7" right="0.7" top="0.75" bottom="0.75" header="0.3" footer="0.3"/>
  <pageSetup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D41"/>
  <sheetViews>
    <sheetView workbookViewId="0">
      <selection activeCell="A6" sqref="A6"/>
    </sheetView>
  </sheetViews>
  <sheetFormatPr defaultRowHeight="14.5" x14ac:dyDescent="0.35"/>
  <cols>
    <col min="1" max="1" width="11.90625" customWidth="1"/>
    <col min="3" max="3" width="62.08984375" customWidth="1"/>
  </cols>
  <sheetData>
    <row r="1" spans="1:4" x14ac:dyDescent="0.35">
      <c r="A1" s="1" t="s">
        <v>1</v>
      </c>
      <c r="B1">
        <f>COUNTIF(Table210[Result],"Pass")</f>
        <v>15</v>
      </c>
    </row>
    <row r="2" spans="1:4" x14ac:dyDescent="0.35">
      <c r="A2" s="2" t="s">
        <v>2</v>
      </c>
      <c r="B2">
        <f>COUNTIF(Table210[Result],"Fail")</f>
        <v>7</v>
      </c>
    </row>
    <row r="3" spans="1:4" x14ac:dyDescent="0.35">
      <c r="A3" s="3" t="s">
        <v>3</v>
      </c>
      <c r="B3">
        <f>COUNTIF(Table210[Result],"Pending")</f>
        <v>14</v>
      </c>
    </row>
    <row r="4" spans="1:4" x14ac:dyDescent="0.35">
      <c r="A4" t="s">
        <v>4</v>
      </c>
      <c r="B4">
        <f>COUNTA(Table210[Result])</f>
        <v>36</v>
      </c>
    </row>
    <row r="5" spans="1:4" x14ac:dyDescent="0.35">
      <c r="A5" s="4" t="s">
        <v>0</v>
      </c>
      <c r="B5" s="4" t="s">
        <v>5</v>
      </c>
      <c r="C5" s="4" t="s">
        <v>206</v>
      </c>
      <c r="D5" s="4" t="s">
        <v>315</v>
      </c>
    </row>
    <row r="6" spans="1:4" x14ac:dyDescent="0.35">
      <c r="A6" t="s">
        <v>170</v>
      </c>
      <c r="B6" t="s">
        <v>2</v>
      </c>
      <c r="C6" s="5"/>
    </row>
    <row r="7" spans="1:4" x14ac:dyDescent="0.35">
      <c r="A7" t="s">
        <v>171</v>
      </c>
      <c r="B7" t="s">
        <v>1</v>
      </c>
      <c r="C7" s="5"/>
    </row>
    <row r="8" spans="1:4" x14ac:dyDescent="0.35">
      <c r="A8" t="s">
        <v>172</v>
      </c>
      <c r="B8" t="s">
        <v>1</v>
      </c>
      <c r="C8" s="5"/>
    </row>
    <row r="9" spans="1:4" x14ac:dyDescent="0.35">
      <c r="A9" t="s">
        <v>173</v>
      </c>
      <c r="B9" t="s">
        <v>1</v>
      </c>
      <c r="C9" s="5"/>
    </row>
    <row r="10" spans="1:4" x14ac:dyDescent="0.35">
      <c r="A10" t="s">
        <v>174</v>
      </c>
      <c r="B10" t="s">
        <v>1</v>
      </c>
      <c r="C10" s="5"/>
    </row>
    <row r="11" spans="1:4" x14ac:dyDescent="0.35">
      <c r="A11" t="s">
        <v>175</v>
      </c>
      <c r="B11" t="s">
        <v>1</v>
      </c>
      <c r="C11" s="5"/>
    </row>
    <row r="12" spans="1:4" x14ac:dyDescent="0.35">
      <c r="A12" t="s">
        <v>176</v>
      </c>
      <c r="B12" t="s">
        <v>1</v>
      </c>
      <c r="C12" s="5"/>
    </row>
    <row r="13" spans="1:4" x14ac:dyDescent="0.35">
      <c r="A13" t="s">
        <v>177</v>
      </c>
      <c r="B13" t="s">
        <v>1</v>
      </c>
      <c r="C13" s="5"/>
    </row>
    <row r="14" spans="1:4" x14ac:dyDescent="0.35">
      <c r="A14" t="s">
        <v>178</v>
      </c>
      <c r="B14" t="s">
        <v>1</v>
      </c>
      <c r="C14" s="5"/>
    </row>
    <row r="15" spans="1:4" x14ac:dyDescent="0.35">
      <c r="A15" t="s">
        <v>179</v>
      </c>
      <c r="B15" t="s">
        <v>1</v>
      </c>
      <c r="C15" s="5"/>
    </row>
    <row r="16" spans="1:4" x14ac:dyDescent="0.35">
      <c r="A16" t="s">
        <v>180</v>
      </c>
      <c r="B16" t="s">
        <v>1</v>
      </c>
      <c r="C16" s="5"/>
    </row>
    <row r="17" spans="1:3" x14ac:dyDescent="0.35">
      <c r="A17" t="s">
        <v>181</v>
      </c>
      <c r="B17" t="s">
        <v>1</v>
      </c>
      <c r="C17" s="5"/>
    </row>
    <row r="18" spans="1:3" x14ac:dyDescent="0.35">
      <c r="A18" t="s">
        <v>182</v>
      </c>
      <c r="B18" t="s">
        <v>1</v>
      </c>
      <c r="C18" s="5"/>
    </row>
    <row r="19" spans="1:3" x14ac:dyDescent="0.35">
      <c r="A19" t="s">
        <v>183</v>
      </c>
      <c r="B19" t="s">
        <v>1</v>
      </c>
      <c r="C19" s="5"/>
    </row>
    <row r="20" spans="1:3" x14ac:dyDescent="0.35">
      <c r="A20" t="s">
        <v>184</v>
      </c>
      <c r="B20" t="s">
        <v>1</v>
      </c>
      <c r="C20" s="5"/>
    </row>
    <row r="21" spans="1:3" x14ac:dyDescent="0.35">
      <c r="A21" t="s">
        <v>185</v>
      </c>
      <c r="B21" t="s">
        <v>1</v>
      </c>
      <c r="C21" s="5"/>
    </row>
    <row r="22" spans="1:3" x14ac:dyDescent="0.35">
      <c r="A22" t="s">
        <v>186</v>
      </c>
      <c r="B22" t="s">
        <v>3</v>
      </c>
      <c r="C22" s="5"/>
    </row>
    <row r="23" spans="1:3" x14ac:dyDescent="0.35">
      <c r="A23" t="s">
        <v>187</v>
      </c>
      <c r="B23" t="s">
        <v>3</v>
      </c>
      <c r="C23" s="5"/>
    </row>
    <row r="24" spans="1:3" x14ac:dyDescent="0.35">
      <c r="A24" t="s">
        <v>188</v>
      </c>
      <c r="B24" t="s">
        <v>3</v>
      </c>
      <c r="C24" s="5"/>
    </row>
    <row r="25" spans="1:3" x14ac:dyDescent="0.35">
      <c r="A25" t="s">
        <v>189</v>
      </c>
      <c r="B25" t="s">
        <v>3</v>
      </c>
      <c r="C25" s="5"/>
    </row>
    <row r="26" spans="1:3" x14ac:dyDescent="0.35">
      <c r="A26" t="s">
        <v>190</v>
      </c>
      <c r="B26" t="s">
        <v>3</v>
      </c>
      <c r="C26" s="5"/>
    </row>
    <row r="27" spans="1:3" x14ac:dyDescent="0.35">
      <c r="A27" t="s">
        <v>191</v>
      </c>
      <c r="B27" t="s">
        <v>3</v>
      </c>
      <c r="C27" s="5"/>
    </row>
    <row r="28" spans="1:3" x14ac:dyDescent="0.35">
      <c r="A28" t="s">
        <v>192</v>
      </c>
      <c r="B28" t="s">
        <v>2</v>
      </c>
      <c r="C28" s="5"/>
    </row>
    <row r="29" spans="1:3" x14ac:dyDescent="0.35">
      <c r="A29" t="s">
        <v>193</v>
      </c>
      <c r="B29" t="s">
        <v>2</v>
      </c>
      <c r="C29" s="5"/>
    </row>
    <row r="30" spans="1:3" x14ac:dyDescent="0.35">
      <c r="A30" t="s">
        <v>194</v>
      </c>
      <c r="B30" t="s">
        <v>2</v>
      </c>
      <c r="C30" s="5"/>
    </row>
    <row r="31" spans="1:3" x14ac:dyDescent="0.35">
      <c r="A31" t="s">
        <v>195</v>
      </c>
      <c r="B31" t="s">
        <v>2</v>
      </c>
      <c r="C31" s="5"/>
    </row>
    <row r="32" spans="1:3" x14ac:dyDescent="0.35">
      <c r="A32" t="s">
        <v>196</v>
      </c>
      <c r="B32" t="s">
        <v>2</v>
      </c>
      <c r="C32" s="5"/>
    </row>
    <row r="33" spans="1:3" x14ac:dyDescent="0.35">
      <c r="A33" t="s">
        <v>197</v>
      </c>
      <c r="B33" t="s">
        <v>2</v>
      </c>
      <c r="C33" s="5"/>
    </row>
    <row r="34" spans="1:3" x14ac:dyDescent="0.35">
      <c r="A34" t="s">
        <v>198</v>
      </c>
      <c r="B34" t="s">
        <v>3</v>
      </c>
      <c r="C34" s="5"/>
    </row>
    <row r="35" spans="1:3" x14ac:dyDescent="0.35">
      <c r="A35" t="s">
        <v>199</v>
      </c>
      <c r="B35" t="s">
        <v>3</v>
      </c>
      <c r="C35" s="5"/>
    </row>
    <row r="36" spans="1:3" x14ac:dyDescent="0.35">
      <c r="A36" t="s">
        <v>200</v>
      </c>
      <c r="B36" t="s">
        <v>3</v>
      </c>
      <c r="C36" s="5"/>
    </row>
    <row r="37" spans="1:3" x14ac:dyDescent="0.35">
      <c r="A37" t="s">
        <v>201</v>
      </c>
      <c r="B37" t="s">
        <v>3</v>
      </c>
      <c r="C37" s="5"/>
    </row>
    <row r="38" spans="1:3" x14ac:dyDescent="0.35">
      <c r="A38" t="s">
        <v>202</v>
      </c>
      <c r="B38" t="s">
        <v>3</v>
      </c>
      <c r="C38" s="5"/>
    </row>
    <row r="39" spans="1:3" x14ac:dyDescent="0.35">
      <c r="A39" t="s">
        <v>203</v>
      </c>
      <c r="B39" t="s">
        <v>3</v>
      </c>
      <c r="C39" s="5"/>
    </row>
    <row r="40" spans="1:3" x14ac:dyDescent="0.35">
      <c r="A40" t="s">
        <v>204</v>
      </c>
      <c r="B40" t="s">
        <v>3</v>
      </c>
      <c r="C40" s="5"/>
    </row>
    <row r="41" spans="1:3" x14ac:dyDescent="0.35">
      <c r="A41" t="s">
        <v>205</v>
      </c>
      <c r="B41" t="s">
        <v>3</v>
      </c>
      <c r="C41" s="5"/>
    </row>
  </sheetData>
  <conditionalFormatting sqref="A7:A23">
    <cfRule type="expression" dxfId="173" priority="17">
      <formula>B7="Fail"</formula>
    </cfRule>
    <cfRule type="expression" dxfId="172" priority="18">
      <formula>B7="Pending"</formula>
    </cfRule>
  </conditionalFormatting>
  <conditionalFormatting sqref="A7:A23">
    <cfRule type="expression" dxfId="171" priority="16">
      <formula>B7="Pass"</formula>
    </cfRule>
  </conditionalFormatting>
  <conditionalFormatting sqref="A6">
    <cfRule type="expression" dxfId="170" priority="14">
      <formula>B6="Fail"</formula>
    </cfRule>
    <cfRule type="expression" dxfId="169" priority="15">
      <formula>B6="Pending"</formula>
    </cfRule>
  </conditionalFormatting>
  <conditionalFormatting sqref="A6">
    <cfRule type="expression" dxfId="168" priority="13">
      <formula>B6="Pass"</formula>
    </cfRule>
  </conditionalFormatting>
  <conditionalFormatting sqref="A24">
    <cfRule type="expression" dxfId="167" priority="11">
      <formula>B24="Fail"</formula>
    </cfRule>
    <cfRule type="expression" dxfId="166" priority="12">
      <formula>B24="Pending"</formula>
    </cfRule>
  </conditionalFormatting>
  <conditionalFormatting sqref="A24">
    <cfRule type="expression" dxfId="165" priority="10">
      <formula>B24="Pass"</formula>
    </cfRule>
  </conditionalFormatting>
  <conditionalFormatting sqref="A25">
    <cfRule type="expression" dxfId="164" priority="8">
      <formula>B25="Fail"</formula>
    </cfRule>
    <cfRule type="expression" dxfId="163" priority="9">
      <formula>B25="Pending"</formula>
    </cfRule>
  </conditionalFormatting>
  <conditionalFormatting sqref="A25">
    <cfRule type="expression" dxfId="162" priority="7">
      <formula>B25="Pass"</formula>
    </cfRule>
  </conditionalFormatting>
  <conditionalFormatting sqref="A26:A35">
    <cfRule type="expression" dxfId="161" priority="5">
      <formula>B26="Fail"</formula>
    </cfRule>
    <cfRule type="expression" dxfId="160" priority="6">
      <formula>B26="Pending"</formula>
    </cfRule>
  </conditionalFormatting>
  <conditionalFormatting sqref="A26:A35">
    <cfRule type="expression" dxfId="159" priority="4">
      <formula>B26="Pass"</formula>
    </cfRule>
  </conditionalFormatting>
  <conditionalFormatting sqref="A36:A41">
    <cfRule type="expression" dxfId="158" priority="2">
      <formula>B36="Fail"</formula>
    </cfRule>
    <cfRule type="expression" dxfId="157" priority="3">
      <formula>B36="Pending"</formula>
    </cfRule>
  </conditionalFormatting>
  <conditionalFormatting sqref="A36:A41">
    <cfRule type="expression" dxfId="156" priority="1">
      <formula>B36="Pass"</formula>
    </cfRule>
  </conditionalFormatting>
  <dataValidations count="1">
    <dataValidation type="list" allowBlank="1" showInputMessage="1" showErrorMessage="1" sqref="B6:B41" xr:uid="{00000000-0002-0000-0400-000000000000}">
      <formula1>$A$1:$A$3</formula1>
    </dataValidation>
  </dataValidations>
  <pageMargins left="0.7" right="0.7" top="0.75" bottom="0.75" header="0.3" footer="0.3"/>
  <pageSetup orientation="portrait" horizontalDpi="4294967295" verticalDpi="4294967295" r:id="rId1"/>
  <tableParts count="1">
    <tablePart r:id="rId2"/>
  </tableParts>
  <extLst>
    <ext xmlns:x14="http://schemas.microsoft.com/office/spreadsheetml/2009/9/main" uri="{78C0D931-6437-407d-A8EE-F0AAD7539E65}">
      <x14:conditionalFormattings>
        <x14:conditionalFormatting xmlns:xm="http://schemas.microsoft.com/office/excel/2006/main">
          <x14:cfRule type="containsText" priority="19" operator="containsText" id="{B4AF1C41-344E-4C17-ADD9-E3F3364E115C}">
            <xm:f>NOT(ISERROR(SEARCH($A$1,B6)))</xm:f>
            <xm:f>$A$1</xm:f>
            <x14:dxf>
              <font>
                <b val="0"/>
                <i val="0"/>
                <color theme="9" tint="-0.499984740745262"/>
              </font>
              <fill>
                <patternFill>
                  <bgColor theme="9" tint="0.59996337778862885"/>
                </patternFill>
              </fill>
            </x14:dxf>
          </x14:cfRule>
          <x14:cfRule type="containsText" priority="20" operator="containsText" id="{5CD9B995-D4B1-4D43-9FE9-1EE8A15CB71C}">
            <xm:f>NOT(ISERROR(SEARCH($A$2,B6)))</xm:f>
            <xm:f>$A$2</xm:f>
            <x14:dxf>
              <font>
                <b val="0"/>
                <i val="0"/>
                <color rgb="FFC00000"/>
              </font>
              <fill>
                <patternFill>
                  <bgColor rgb="FFFFCCCC"/>
                </patternFill>
              </fill>
            </x14:dxf>
          </x14:cfRule>
          <x14:cfRule type="containsText" priority="21" operator="containsText" id="{33656403-6DAF-400F-BF19-B68E52C0E2B7}">
            <xm:f>NOT(ISERROR(SEARCH($A$3,B6)))</xm:f>
            <xm:f>$A$3</xm:f>
            <x14:dxf>
              <font>
                <b val="0"/>
                <i val="0"/>
                <color theme="7" tint="-0.499984740745262"/>
              </font>
              <fill>
                <patternFill>
                  <bgColor theme="7" tint="0.59996337778862885"/>
                </patternFill>
              </fill>
            </x14:dxf>
          </x14:cfRule>
          <xm:sqref>B6:B41</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1000000}">
          <x14:formula1>
            <xm:f>Overview!$C$9:$C$12</xm:f>
          </x14:formula1>
          <xm:sqref>D6:D41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N31"/>
  <sheetViews>
    <sheetView zoomScale="85" zoomScaleNormal="85" workbookViewId="0">
      <selection activeCell="D7" sqref="D7"/>
    </sheetView>
  </sheetViews>
  <sheetFormatPr defaultRowHeight="14.5" x14ac:dyDescent="0.35"/>
  <cols>
    <col min="1" max="1" width="14.54296875" customWidth="1"/>
    <col min="3" max="3" width="25.6328125" customWidth="1"/>
    <col min="4" max="4" width="12.90625" customWidth="1"/>
    <col min="6" max="6" width="6.81640625" customWidth="1"/>
    <col min="7" max="7" width="16.54296875" customWidth="1"/>
    <col min="9" max="9" width="12.6328125" customWidth="1"/>
    <col min="10" max="10" width="14.08984375" customWidth="1"/>
    <col min="11" max="11" width="19.08984375" customWidth="1"/>
    <col min="14" max="14" width="23.90625" customWidth="1"/>
  </cols>
  <sheetData>
    <row r="1" spans="1:14" x14ac:dyDescent="0.35">
      <c r="A1" s="4" t="s">
        <v>0</v>
      </c>
      <c r="B1" s="4" t="s">
        <v>5</v>
      </c>
      <c r="C1" s="4" t="s">
        <v>206</v>
      </c>
      <c r="D1" s="4" t="s">
        <v>315</v>
      </c>
      <c r="E1" s="62" t="s">
        <v>359</v>
      </c>
      <c r="F1" s="62" t="s">
        <v>360</v>
      </c>
      <c r="G1" s="62" t="s">
        <v>361</v>
      </c>
      <c r="H1" s="62" t="s">
        <v>362</v>
      </c>
      <c r="I1" s="62" t="s">
        <v>363</v>
      </c>
      <c r="J1" s="62" t="s">
        <v>364</v>
      </c>
      <c r="K1" s="62" t="s">
        <v>365</v>
      </c>
      <c r="L1" s="62" t="s">
        <v>366</v>
      </c>
      <c r="M1" s="62" t="s">
        <v>367</v>
      </c>
      <c r="N1" s="4" t="s">
        <v>376</v>
      </c>
    </row>
    <row r="2" spans="1:14" x14ac:dyDescent="0.35">
      <c r="A2" t="s">
        <v>150</v>
      </c>
      <c r="B2" t="s">
        <v>3</v>
      </c>
      <c r="C2" s="5"/>
    </row>
    <row r="3" spans="1:14" x14ac:dyDescent="0.35">
      <c r="A3" t="s">
        <v>151</v>
      </c>
      <c r="B3" t="s">
        <v>3</v>
      </c>
      <c r="C3" s="5"/>
    </row>
    <row r="4" spans="1:14" x14ac:dyDescent="0.35">
      <c r="A4" t="s">
        <v>152</v>
      </c>
      <c r="B4" t="s">
        <v>3</v>
      </c>
      <c r="C4" s="5"/>
    </row>
    <row r="5" spans="1:14" x14ac:dyDescent="0.35">
      <c r="A5" t="s">
        <v>153</v>
      </c>
      <c r="B5" t="s">
        <v>3</v>
      </c>
      <c r="C5" s="5"/>
    </row>
    <row r="6" spans="1:14" x14ac:dyDescent="0.35">
      <c r="A6" t="s">
        <v>154</v>
      </c>
      <c r="B6" t="s">
        <v>1</v>
      </c>
      <c r="C6" s="5"/>
      <c r="G6">
        <v>1.62</v>
      </c>
      <c r="K6">
        <v>86490595</v>
      </c>
      <c r="L6">
        <v>911</v>
      </c>
      <c r="N6" t="s">
        <v>380</v>
      </c>
    </row>
    <row r="7" spans="1:14" ht="159.5" x14ac:dyDescent="0.35">
      <c r="A7" t="s">
        <v>155</v>
      </c>
      <c r="B7" t="s">
        <v>2</v>
      </c>
      <c r="C7" s="5" t="s">
        <v>493</v>
      </c>
      <c r="D7" t="s">
        <v>350</v>
      </c>
      <c r="G7" s="66" t="s">
        <v>382</v>
      </c>
      <c r="K7" s="5" t="s">
        <v>381</v>
      </c>
      <c r="N7" t="s">
        <v>380</v>
      </c>
    </row>
    <row r="8" spans="1:14" x14ac:dyDescent="0.35">
      <c r="A8" t="s">
        <v>156</v>
      </c>
      <c r="B8" t="s">
        <v>3</v>
      </c>
      <c r="C8" s="5"/>
    </row>
    <row r="9" spans="1:14" x14ac:dyDescent="0.35">
      <c r="A9" t="s">
        <v>157</v>
      </c>
      <c r="B9" t="s">
        <v>3</v>
      </c>
      <c r="C9" s="5"/>
    </row>
    <row r="10" spans="1:14" x14ac:dyDescent="0.35">
      <c r="A10" t="s">
        <v>158</v>
      </c>
      <c r="B10" t="s">
        <v>3</v>
      </c>
      <c r="C10" s="5"/>
    </row>
    <row r="11" spans="1:14" x14ac:dyDescent="0.35">
      <c r="A11" t="s">
        <v>159</v>
      </c>
      <c r="B11" t="s">
        <v>3</v>
      </c>
      <c r="C11" s="5"/>
    </row>
    <row r="12" spans="1:14" x14ac:dyDescent="0.35">
      <c r="A12" t="s">
        <v>160</v>
      </c>
      <c r="B12" t="s">
        <v>3</v>
      </c>
      <c r="C12" s="5"/>
    </row>
    <row r="13" spans="1:14" x14ac:dyDescent="0.35">
      <c r="A13" t="s">
        <v>161</v>
      </c>
      <c r="B13" t="s">
        <v>3</v>
      </c>
      <c r="C13" s="5"/>
    </row>
    <row r="14" spans="1:14" x14ac:dyDescent="0.35">
      <c r="A14" t="s">
        <v>162</v>
      </c>
      <c r="B14" t="s">
        <v>3</v>
      </c>
      <c r="C14" s="5"/>
    </row>
    <row r="15" spans="1:14" x14ac:dyDescent="0.35">
      <c r="A15" t="s">
        <v>163</v>
      </c>
      <c r="B15" t="s">
        <v>3</v>
      </c>
      <c r="C15" s="5"/>
    </row>
    <row r="16" spans="1:14" ht="42" customHeight="1" x14ac:dyDescent="0.35">
      <c r="A16" t="s">
        <v>164</v>
      </c>
      <c r="B16" t="s">
        <v>1</v>
      </c>
      <c r="C16" s="5"/>
      <c r="G16" s="66" t="s">
        <v>379</v>
      </c>
      <c r="I16" t="s">
        <v>375</v>
      </c>
      <c r="J16" s="5" t="s">
        <v>377</v>
      </c>
      <c r="K16" s="5" t="s">
        <v>378</v>
      </c>
      <c r="L16">
        <v>911</v>
      </c>
      <c r="N16" s="65">
        <v>374245004741004</v>
      </c>
    </row>
    <row r="17" spans="1:14" ht="43.5" x14ac:dyDescent="0.35">
      <c r="A17" t="s">
        <v>165</v>
      </c>
      <c r="B17" t="s">
        <v>1</v>
      </c>
      <c r="C17" s="5"/>
      <c r="G17" t="s">
        <v>385</v>
      </c>
      <c r="I17" t="s">
        <v>386</v>
      </c>
      <c r="J17" t="s">
        <v>387</v>
      </c>
      <c r="K17" s="5" t="s">
        <v>384</v>
      </c>
      <c r="N17" t="s">
        <v>383</v>
      </c>
    </row>
    <row r="18" spans="1:14" x14ac:dyDescent="0.35">
      <c r="A18" t="s">
        <v>166</v>
      </c>
      <c r="B18" t="s">
        <v>3</v>
      </c>
      <c r="C18" s="5"/>
    </row>
    <row r="19" spans="1:14" x14ac:dyDescent="0.35">
      <c r="A19" t="s">
        <v>167</v>
      </c>
      <c r="B19" t="s">
        <v>3</v>
      </c>
      <c r="C19" s="5"/>
    </row>
    <row r="20" spans="1:14" x14ac:dyDescent="0.35">
      <c r="A20" t="s">
        <v>168</v>
      </c>
      <c r="B20" t="s">
        <v>3</v>
      </c>
      <c r="C20" s="5"/>
    </row>
    <row r="21" spans="1:14" x14ac:dyDescent="0.35">
      <c r="A21" t="s">
        <v>169</v>
      </c>
      <c r="B21" t="s">
        <v>3</v>
      </c>
      <c r="C21" s="5"/>
    </row>
    <row r="22" spans="1:14" x14ac:dyDescent="0.35">
      <c r="C22" s="5"/>
    </row>
    <row r="23" spans="1:14" x14ac:dyDescent="0.35">
      <c r="C23" s="5"/>
    </row>
    <row r="24" spans="1:14" x14ac:dyDescent="0.35">
      <c r="C24" s="5"/>
    </row>
    <row r="25" spans="1:14" x14ac:dyDescent="0.35">
      <c r="C25" s="5"/>
    </row>
    <row r="26" spans="1:14" x14ac:dyDescent="0.35">
      <c r="C26" s="5"/>
    </row>
    <row r="27" spans="1:14" x14ac:dyDescent="0.35">
      <c r="C27" s="5"/>
    </row>
    <row r="28" spans="1:14" x14ac:dyDescent="0.35">
      <c r="C28" s="5"/>
    </row>
    <row r="29" spans="1:14" x14ac:dyDescent="0.35">
      <c r="C29" s="5"/>
    </row>
    <row r="30" spans="1:14" x14ac:dyDescent="0.35">
      <c r="C30" s="5"/>
    </row>
    <row r="31" spans="1:14" x14ac:dyDescent="0.35">
      <c r="C31" s="5"/>
    </row>
  </sheetData>
  <conditionalFormatting sqref="A3:A19">
    <cfRule type="expression" dxfId="150" priority="14">
      <formula>B3="Fail"</formula>
    </cfRule>
    <cfRule type="expression" dxfId="149" priority="15">
      <formula>B3="Pending"</formula>
    </cfRule>
  </conditionalFormatting>
  <conditionalFormatting sqref="A3:A19">
    <cfRule type="expression" dxfId="148" priority="13">
      <formula>B3="Pass"</formula>
    </cfRule>
  </conditionalFormatting>
  <conditionalFormatting sqref="A2">
    <cfRule type="expression" dxfId="147" priority="11">
      <formula>B2="Fail"</formula>
    </cfRule>
    <cfRule type="expression" dxfId="146" priority="12">
      <formula>B2="Pending"</formula>
    </cfRule>
  </conditionalFormatting>
  <conditionalFormatting sqref="A2">
    <cfRule type="expression" dxfId="145" priority="10">
      <formula>B2="Pass"</formula>
    </cfRule>
  </conditionalFormatting>
  <conditionalFormatting sqref="A20">
    <cfRule type="expression" dxfId="144" priority="8">
      <formula>B20="Fail"</formula>
    </cfRule>
    <cfRule type="expression" dxfId="143" priority="9">
      <formula>B20="Pending"</formula>
    </cfRule>
  </conditionalFormatting>
  <conditionalFormatting sqref="A20">
    <cfRule type="expression" dxfId="142" priority="7">
      <formula>B20="Pass"</formula>
    </cfRule>
  </conditionalFormatting>
  <conditionalFormatting sqref="A21">
    <cfRule type="expression" dxfId="141" priority="5">
      <formula>B21="Fail"</formula>
    </cfRule>
    <cfRule type="expression" dxfId="140" priority="6">
      <formula>B21="Pending"</formula>
    </cfRule>
  </conditionalFormatting>
  <conditionalFormatting sqref="A21">
    <cfRule type="expression" dxfId="139" priority="4">
      <formula>B21="Pass"</formula>
    </cfRule>
  </conditionalFormatting>
  <conditionalFormatting sqref="A22:A31">
    <cfRule type="expression" dxfId="138" priority="2">
      <formula>B22="Fail"</formula>
    </cfRule>
    <cfRule type="expression" dxfId="137" priority="3">
      <formula>B22="Pending"</formula>
    </cfRule>
  </conditionalFormatting>
  <conditionalFormatting sqref="A22:A31">
    <cfRule type="expression" dxfId="136" priority="1">
      <formula>B22="Pass"</formula>
    </cfRule>
  </conditionalFormatting>
  <dataValidations count="1">
    <dataValidation type="list" allowBlank="1" showInputMessage="1" showErrorMessage="1" sqref="B2:B21" xr:uid="{00000000-0002-0000-0500-000000000000}">
      <formula1>#REF!</formula1>
    </dataValidation>
  </dataValidations>
  <pageMargins left="0.7" right="0.7" top="0.75" bottom="0.75" header="0.3" footer="0.3"/>
  <pageSetup orientation="portrait" horizontalDpi="4294967295" verticalDpi="4294967295" r:id="rId1"/>
  <tableParts count="1">
    <tablePart r:id="rId2"/>
  </tableParts>
  <extLst>
    <ext xmlns:x14="http://schemas.microsoft.com/office/spreadsheetml/2009/9/main" uri="{78C0D931-6437-407d-A8EE-F0AAD7539E65}">
      <x14:conditionalFormattings>
        <x14:conditionalFormatting xmlns:xm="http://schemas.microsoft.com/office/excel/2006/main">
          <x14:cfRule type="containsText" priority="16" operator="containsText" id="{ABAED45C-B614-4784-A279-586596C5FF96}">
            <xm:f>NOT(ISERROR(SEARCH(#REF!,B2)))</xm:f>
            <xm:f>#REF!</xm:f>
            <x14:dxf>
              <font>
                <b val="0"/>
                <i val="0"/>
                <color theme="9" tint="-0.499984740745262"/>
              </font>
              <fill>
                <patternFill>
                  <bgColor theme="9" tint="0.59996337778862885"/>
                </patternFill>
              </fill>
            </x14:dxf>
          </x14:cfRule>
          <x14:cfRule type="containsText" priority="17" operator="containsText" id="{802809A5-ADED-4DD0-9AE2-D913A8B493DA}">
            <xm:f>NOT(ISERROR(SEARCH(#REF!,B2)))</xm:f>
            <xm:f>#REF!</xm:f>
            <x14:dxf>
              <font>
                <b val="0"/>
                <i val="0"/>
                <color rgb="FFC00000"/>
              </font>
              <fill>
                <patternFill>
                  <bgColor rgb="FFFFCCCC"/>
                </patternFill>
              </fill>
            </x14:dxf>
          </x14:cfRule>
          <x14:cfRule type="containsText" priority="18" operator="containsText" id="{28E07B7C-4E7B-4E45-B9FE-227595513EAD}">
            <xm:f>NOT(ISERROR(SEARCH(#REF!,B2)))</xm:f>
            <xm:f>#REF!</xm:f>
            <x14:dxf>
              <font>
                <b val="0"/>
                <i val="0"/>
                <color theme="7" tint="-0.499984740745262"/>
              </font>
              <fill>
                <patternFill>
                  <bgColor theme="7" tint="0.59996337778862885"/>
                </patternFill>
              </fill>
            </x14:dxf>
          </x14:cfRule>
          <xm:sqref>B2:B21</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1000000}">
          <x14:formula1>
            <xm:f>Overview!$C$9:$C$12</xm:f>
          </x14:formula1>
          <xm:sqref>D2:D21</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5"/>
  <dimension ref="A1:M43"/>
  <sheetViews>
    <sheetView tabSelected="1" zoomScale="70" zoomScaleNormal="70" workbookViewId="0">
      <selection activeCell="Q8" sqref="Q8"/>
    </sheetView>
  </sheetViews>
  <sheetFormatPr defaultRowHeight="14.5" x14ac:dyDescent="0.35"/>
  <cols>
    <col min="1" max="1" width="42.54296875" customWidth="1"/>
    <col min="3" max="3" width="48.6328125" customWidth="1"/>
    <col min="4" max="4" width="12.90625" customWidth="1"/>
    <col min="5" max="5" width="12.453125" bestFit="1" customWidth="1"/>
    <col min="7" max="7" width="9.08984375" bestFit="1" customWidth="1"/>
    <col min="11" max="11" width="11.54296875" bestFit="1" customWidth="1"/>
  </cols>
  <sheetData>
    <row r="1" spans="1:13" x14ac:dyDescent="0.35">
      <c r="A1" s="4" t="s">
        <v>0</v>
      </c>
      <c r="B1" s="4" t="s">
        <v>5</v>
      </c>
      <c r="C1" s="4" t="s">
        <v>206</v>
      </c>
      <c r="D1" s="4" t="s">
        <v>315</v>
      </c>
      <c r="E1" s="4" t="s">
        <v>359</v>
      </c>
      <c r="F1" s="4" t="s">
        <v>360</v>
      </c>
      <c r="G1" s="4" t="s">
        <v>361</v>
      </c>
      <c r="H1" s="4" t="s">
        <v>362</v>
      </c>
      <c r="I1" s="4" t="s">
        <v>363</v>
      </c>
      <c r="J1" s="4" t="s">
        <v>364</v>
      </c>
      <c r="K1" s="62" t="s">
        <v>365</v>
      </c>
      <c r="L1" s="62" t="s">
        <v>366</v>
      </c>
      <c r="M1" s="62" t="s">
        <v>367</v>
      </c>
    </row>
    <row r="2" spans="1:13" ht="18.5" x14ac:dyDescent="0.45">
      <c r="A2" s="76" t="s">
        <v>511</v>
      </c>
      <c r="B2" s="76" t="s">
        <v>1</v>
      </c>
      <c r="C2" s="77"/>
      <c r="D2" s="76"/>
      <c r="E2" s="76"/>
      <c r="F2" s="76"/>
      <c r="G2" s="76"/>
      <c r="H2" s="76"/>
      <c r="I2" s="76"/>
      <c r="J2" s="76"/>
      <c r="K2" s="76"/>
      <c r="L2" s="76"/>
      <c r="M2" s="76"/>
    </row>
    <row r="3" spans="1:13" ht="18.5" x14ac:dyDescent="0.45">
      <c r="A3" s="76" t="s">
        <v>512</v>
      </c>
      <c r="B3" s="76" t="s">
        <v>1</v>
      </c>
      <c r="C3" s="77"/>
      <c r="D3" s="76"/>
      <c r="E3" s="76"/>
      <c r="F3" s="76"/>
      <c r="G3" s="76"/>
      <c r="H3" s="76"/>
      <c r="I3" s="76"/>
      <c r="J3" s="76"/>
      <c r="K3" s="76"/>
      <c r="L3" s="76"/>
      <c r="M3" s="76"/>
    </row>
    <row r="4" spans="1:13" ht="18.5" x14ac:dyDescent="0.45">
      <c r="A4" s="76" t="s">
        <v>513</v>
      </c>
      <c r="B4" s="76" t="s">
        <v>3</v>
      </c>
      <c r="C4" s="77"/>
      <c r="D4" s="76"/>
      <c r="E4" s="76"/>
      <c r="F4" s="76"/>
      <c r="G4" s="76"/>
      <c r="H4" s="76"/>
      <c r="I4" s="76"/>
      <c r="J4" s="76"/>
      <c r="K4" s="76"/>
      <c r="L4" s="76"/>
      <c r="M4" s="76"/>
    </row>
    <row r="5" spans="1:13" ht="18.5" x14ac:dyDescent="0.45">
      <c r="A5" s="76" t="s">
        <v>514</v>
      </c>
      <c r="B5" s="76" t="s">
        <v>3</v>
      </c>
      <c r="C5" s="77"/>
      <c r="D5" s="76"/>
      <c r="E5" s="76"/>
      <c r="F5" s="76"/>
      <c r="G5" s="76"/>
      <c r="H5" s="76"/>
      <c r="I5" s="76"/>
      <c r="J5" s="76"/>
      <c r="K5" s="76"/>
      <c r="L5" s="76"/>
      <c r="M5" s="76"/>
    </row>
    <row r="6" spans="1:13" ht="18.5" x14ac:dyDescent="0.45">
      <c r="A6" s="76" t="s">
        <v>515</v>
      </c>
      <c r="B6" s="76" t="s">
        <v>3</v>
      </c>
      <c r="C6" s="77"/>
      <c r="D6" s="76"/>
      <c r="E6" s="76"/>
      <c r="F6" s="76"/>
      <c r="G6" s="76"/>
      <c r="H6" s="76"/>
      <c r="I6" s="76"/>
      <c r="J6" s="76"/>
      <c r="K6" s="76"/>
      <c r="L6" s="76"/>
      <c r="M6" s="76"/>
    </row>
    <row r="7" spans="1:13" ht="18.5" x14ac:dyDescent="0.45">
      <c r="A7" s="76" t="s">
        <v>516</v>
      </c>
      <c r="B7" s="76" t="s">
        <v>3</v>
      </c>
      <c r="C7" s="77"/>
      <c r="D7" s="76"/>
      <c r="E7" s="76"/>
      <c r="F7" s="76"/>
      <c r="G7" s="76"/>
      <c r="H7" s="76"/>
      <c r="I7" s="76"/>
      <c r="J7" s="76"/>
      <c r="K7" s="76"/>
      <c r="L7" s="76"/>
      <c r="M7" s="76"/>
    </row>
    <row r="8" spans="1:13" ht="259" x14ac:dyDescent="0.45">
      <c r="A8" s="76" t="s">
        <v>517</v>
      </c>
      <c r="B8" s="76" t="s">
        <v>2</v>
      </c>
      <c r="C8" s="78" t="s">
        <v>500</v>
      </c>
      <c r="D8" s="76"/>
      <c r="E8" s="76" t="s">
        <v>495</v>
      </c>
      <c r="F8" s="76" t="s">
        <v>494</v>
      </c>
      <c r="G8" s="79">
        <v>39.5</v>
      </c>
      <c r="H8" s="76" t="s">
        <v>356</v>
      </c>
      <c r="I8" s="76" t="s">
        <v>496</v>
      </c>
      <c r="J8" s="76"/>
      <c r="K8" s="76">
        <v>88446951</v>
      </c>
      <c r="L8" s="76"/>
      <c r="M8" s="76"/>
    </row>
    <row r="9" spans="1:13" ht="129.5" x14ac:dyDescent="0.45">
      <c r="A9" s="76" t="s">
        <v>518</v>
      </c>
      <c r="B9" s="76" t="s">
        <v>2</v>
      </c>
      <c r="C9" s="78" t="s">
        <v>499</v>
      </c>
      <c r="D9" s="76"/>
      <c r="E9" s="76" t="s">
        <v>498</v>
      </c>
      <c r="F9" s="76" t="s">
        <v>497</v>
      </c>
      <c r="G9" s="79">
        <v>40.5</v>
      </c>
      <c r="H9" s="76" t="s">
        <v>356</v>
      </c>
      <c r="I9" s="76"/>
      <c r="J9" s="76"/>
      <c r="K9" s="76"/>
      <c r="L9" s="76"/>
      <c r="M9" s="76"/>
    </row>
    <row r="10" spans="1:13" ht="92.5" x14ac:dyDescent="0.45">
      <c r="A10" s="76" t="s">
        <v>519</v>
      </c>
      <c r="B10" s="76" t="s">
        <v>2</v>
      </c>
      <c r="C10" s="78" t="s">
        <v>368</v>
      </c>
      <c r="D10" s="76"/>
      <c r="E10" s="76"/>
      <c r="F10" s="76"/>
      <c r="G10" s="76"/>
      <c r="H10" s="76"/>
      <c r="I10" s="76"/>
      <c r="J10" s="76"/>
      <c r="K10" s="76"/>
      <c r="L10" s="76"/>
      <c r="M10" s="76"/>
    </row>
    <row r="11" spans="1:13" ht="37" x14ac:dyDescent="0.45">
      <c r="A11" s="76" t="s">
        <v>520</v>
      </c>
      <c r="B11" s="76" t="s">
        <v>2</v>
      </c>
      <c r="C11" s="78" t="s">
        <v>369</v>
      </c>
      <c r="D11" s="76"/>
      <c r="E11" s="76"/>
      <c r="F11" s="76"/>
      <c r="G11" s="76"/>
      <c r="H11" s="76"/>
      <c r="I11" s="76"/>
      <c r="J11" s="76"/>
      <c r="K11" s="76"/>
      <c r="L11" s="76"/>
      <c r="M11" s="76"/>
    </row>
    <row r="12" spans="1:13" ht="37" x14ac:dyDescent="0.45">
      <c r="A12" s="76" t="s">
        <v>521</v>
      </c>
      <c r="B12" s="76" t="s">
        <v>2</v>
      </c>
      <c r="C12" s="78" t="s">
        <v>370</v>
      </c>
      <c r="D12" s="76"/>
      <c r="E12" s="76"/>
      <c r="F12" s="76"/>
      <c r="G12" s="76"/>
      <c r="H12" s="76"/>
      <c r="I12" s="76"/>
      <c r="J12" s="76"/>
      <c r="K12" s="76"/>
      <c r="L12" s="76"/>
      <c r="M12" s="76"/>
    </row>
    <row r="13" spans="1:13" ht="18.5" x14ac:dyDescent="0.45">
      <c r="A13" s="76" t="s">
        <v>522</v>
      </c>
      <c r="B13" s="76" t="s">
        <v>3</v>
      </c>
      <c r="C13" s="77"/>
      <c r="D13" s="76"/>
      <c r="E13" s="76"/>
      <c r="F13" s="76"/>
      <c r="G13" s="76"/>
      <c r="H13" s="76"/>
      <c r="I13" s="76"/>
      <c r="J13" s="76"/>
      <c r="K13" s="76"/>
      <c r="L13" s="76"/>
      <c r="M13" s="76"/>
    </row>
    <row r="14" spans="1:13" ht="18.5" x14ac:dyDescent="0.45">
      <c r="A14" s="76" t="s">
        <v>523</v>
      </c>
      <c r="B14" s="76" t="s">
        <v>3</v>
      </c>
      <c r="C14" s="77"/>
      <c r="D14" s="76"/>
      <c r="E14" s="76"/>
      <c r="F14" s="76"/>
      <c r="G14" s="76"/>
      <c r="H14" s="76"/>
      <c r="I14" s="76"/>
      <c r="J14" s="76"/>
      <c r="K14" s="76"/>
      <c r="L14" s="76"/>
      <c r="M14" s="76"/>
    </row>
    <row r="15" spans="1:13" ht="74" x14ac:dyDescent="0.45">
      <c r="A15" s="76" t="s">
        <v>524</v>
      </c>
      <c r="B15" s="76" t="s">
        <v>3</v>
      </c>
      <c r="C15" s="78" t="s">
        <v>371</v>
      </c>
      <c r="D15" s="76"/>
      <c r="E15" s="76"/>
      <c r="F15" s="76"/>
      <c r="G15" s="76"/>
      <c r="H15" s="76"/>
      <c r="I15" s="76"/>
      <c r="J15" s="76"/>
      <c r="K15" s="76"/>
      <c r="L15" s="76"/>
      <c r="M15" s="76"/>
    </row>
    <row r="16" spans="1:13" ht="18.5" x14ac:dyDescent="0.45">
      <c r="A16" s="76" t="s">
        <v>525</v>
      </c>
      <c r="B16" s="76" t="s">
        <v>3</v>
      </c>
      <c r="C16" s="77"/>
      <c r="D16" s="76"/>
      <c r="E16" s="76"/>
      <c r="F16" s="76"/>
      <c r="G16" s="76"/>
      <c r="H16" s="76"/>
      <c r="I16" s="76"/>
      <c r="J16" s="76"/>
      <c r="K16" s="76"/>
      <c r="L16" s="76"/>
      <c r="M16" s="76"/>
    </row>
    <row r="17" spans="1:13" ht="18.5" x14ac:dyDescent="0.45">
      <c r="A17" s="76" t="s">
        <v>526</v>
      </c>
      <c r="B17" s="76" t="s">
        <v>1</v>
      </c>
      <c r="C17" s="77"/>
      <c r="D17" s="76"/>
      <c r="E17" s="80">
        <v>43188</v>
      </c>
      <c r="F17" s="76" t="s">
        <v>372</v>
      </c>
      <c r="G17" s="79">
        <v>48.5</v>
      </c>
      <c r="H17" s="76"/>
      <c r="I17" s="76"/>
      <c r="J17" s="76" t="s">
        <v>373</v>
      </c>
      <c r="K17" s="76"/>
      <c r="L17" s="76"/>
      <c r="M17" s="76"/>
    </row>
    <row r="18" spans="1:13" ht="18.5" x14ac:dyDescent="0.45">
      <c r="A18" s="76" t="s">
        <v>527</v>
      </c>
      <c r="B18" s="76" t="s">
        <v>3</v>
      </c>
      <c r="C18" s="77"/>
      <c r="D18" s="76"/>
      <c r="E18" s="76"/>
      <c r="F18" s="76"/>
      <c r="G18" s="76"/>
      <c r="H18" s="76"/>
      <c r="I18" s="76"/>
      <c r="J18" s="76"/>
      <c r="K18" s="76"/>
      <c r="L18" s="76"/>
      <c r="M18" s="76"/>
    </row>
    <row r="19" spans="1:13" ht="18.5" x14ac:dyDescent="0.45">
      <c r="A19" s="76" t="s">
        <v>528</v>
      </c>
      <c r="B19" s="76" t="s">
        <v>3</v>
      </c>
      <c r="C19" s="77"/>
      <c r="D19" s="76"/>
      <c r="E19" s="76"/>
      <c r="F19" s="76"/>
      <c r="G19" s="76"/>
      <c r="H19" s="76"/>
      <c r="I19" s="76"/>
      <c r="J19" s="76"/>
      <c r="K19" s="76"/>
      <c r="L19" s="76"/>
      <c r="M19" s="76"/>
    </row>
    <row r="20" spans="1:13" ht="18.5" x14ac:dyDescent="0.45">
      <c r="A20" s="76" t="s">
        <v>529</v>
      </c>
      <c r="B20" s="76" t="s">
        <v>3</v>
      </c>
      <c r="C20" s="77"/>
      <c r="D20" s="76"/>
      <c r="E20" s="76"/>
      <c r="F20" s="76"/>
      <c r="G20" s="76"/>
      <c r="H20" s="76"/>
      <c r="I20" s="76"/>
      <c r="J20" s="76"/>
      <c r="K20" s="76"/>
      <c r="L20" s="76"/>
      <c r="M20" s="76"/>
    </row>
    <row r="21" spans="1:13" ht="18.5" x14ac:dyDescent="0.45">
      <c r="A21" s="76" t="s">
        <v>530</v>
      </c>
      <c r="B21" s="76" t="s">
        <v>3</v>
      </c>
      <c r="C21" s="77"/>
      <c r="D21" s="76"/>
      <c r="E21" s="76"/>
      <c r="F21" s="76"/>
      <c r="G21" s="76"/>
      <c r="H21" s="76"/>
      <c r="I21" s="76"/>
      <c r="J21" s="76"/>
      <c r="K21" s="76"/>
      <c r="L21" s="76"/>
      <c r="M21" s="76"/>
    </row>
    <row r="22" spans="1:13" ht="18.5" x14ac:dyDescent="0.45">
      <c r="A22" s="76" t="s">
        <v>531</v>
      </c>
      <c r="B22" s="76" t="s">
        <v>3</v>
      </c>
      <c r="C22" s="77"/>
      <c r="D22" s="76"/>
      <c r="E22" s="76"/>
      <c r="F22" s="76"/>
      <c r="G22" s="76"/>
      <c r="H22" s="76"/>
      <c r="I22" s="76"/>
      <c r="J22" s="76"/>
      <c r="K22" s="76"/>
      <c r="L22" s="76"/>
      <c r="M22" s="76"/>
    </row>
    <row r="23" spans="1:13" ht="18.5" x14ac:dyDescent="0.45">
      <c r="A23" s="76" t="s">
        <v>532</v>
      </c>
      <c r="B23" s="76" t="s">
        <v>3</v>
      </c>
      <c r="C23" s="77"/>
      <c r="D23" s="76"/>
      <c r="E23" s="76"/>
      <c r="F23" s="76"/>
      <c r="G23" s="76"/>
      <c r="H23" s="76"/>
      <c r="I23" s="76"/>
      <c r="J23" s="76"/>
      <c r="K23" s="76"/>
      <c r="L23" s="76"/>
      <c r="M23" s="76"/>
    </row>
    <row r="24" spans="1:13" ht="18.5" x14ac:dyDescent="0.45">
      <c r="A24" s="76" t="s">
        <v>533</v>
      </c>
      <c r="B24" s="76" t="s">
        <v>3</v>
      </c>
      <c r="C24" s="77"/>
      <c r="D24" s="76"/>
      <c r="E24" s="76"/>
      <c r="F24" s="76"/>
      <c r="G24" s="76"/>
      <c r="H24" s="76"/>
      <c r="I24" s="76"/>
      <c r="J24" s="76"/>
      <c r="K24" s="76"/>
      <c r="L24" s="76"/>
      <c r="M24" s="76"/>
    </row>
    <row r="25" spans="1:13" ht="18.5" x14ac:dyDescent="0.45">
      <c r="A25" s="76" t="s">
        <v>534</v>
      </c>
      <c r="B25" s="76" t="s">
        <v>3</v>
      </c>
      <c r="C25" s="77"/>
      <c r="D25" s="76"/>
      <c r="E25" s="76"/>
      <c r="F25" s="76"/>
      <c r="G25" s="76"/>
      <c r="H25" s="76"/>
      <c r="I25" s="76"/>
      <c r="J25" s="76"/>
      <c r="K25" s="76"/>
      <c r="L25" s="76"/>
      <c r="M25" s="76"/>
    </row>
    <row r="26" spans="1:13" ht="18.5" x14ac:dyDescent="0.45">
      <c r="A26" s="76" t="s">
        <v>535</v>
      </c>
      <c r="B26" s="76" t="s">
        <v>3</v>
      </c>
      <c r="C26" s="77"/>
      <c r="D26" s="76"/>
      <c r="E26" s="76"/>
      <c r="F26" s="76"/>
      <c r="G26" s="76"/>
      <c r="H26" s="76"/>
      <c r="I26" s="76"/>
      <c r="J26" s="76"/>
      <c r="K26" s="76"/>
      <c r="L26" s="76"/>
      <c r="M26" s="76"/>
    </row>
    <row r="27" spans="1:13" ht="18.5" x14ac:dyDescent="0.45">
      <c r="A27" s="76" t="s">
        <v>536</v>
      </c>
      <c r="B27" s="76" t="s">
        <v>3</v>
      </c>
      <c r="C27" s="77"/>
      <c r="D27" s="76"/>
      <c r="E27" s="76"/>
      <c r="F27" s="76"/>
      <c r="G27" s="76"/>
      <c r="H27" s="76"/>
      <c r="I27" s="76"/>
      <c r="J27" s="76"/>
      <c r="K27" s="76"/>
      <c r="L27" s="76"/>
      <c r="M27" s="76"/>
    </row>
    <row r="28" spans="1:13" ht="18.5" x14ac:dyDescent="0.45">
      <c r="A28" s="76" t="s">
        <v>537</v>
      </c>
      <c r="B28" s="76" t="s">
        <v>3</v>
      </c>
      <c r="C28" s="77"/>
      <c r="D28" s="76"/>
      <c r="E28" s="76"/>
      <c r="F28" s="76"/>
      <c r="G28" s="76"/>
      <c r="H28" s="76"/>
      <c r="I28" s="76"/>
      <c r="J28" s="76"/>
      <c r="K28" s="76"/>
      <c r="L28" s="76"/>
      <c r="M28" s="76"/>
    </row>
    <row r="29" spans="1:13" ht="18.5" x14ac:dyDescent="0.45">
      <c r="A29" s="76" t="s">
        <v>538</v>
      </c>
      <c r="B29" s="76" t="s">
        <v>3</v>
      </c>
      <c r="C29" s="77"/>
      <c r="D29" s="76"/>
      <c r="E29" s="76"/>
      <c r="F29" s="76"/>
      <c r="G29" s="76"/>
      <c r="H29" s="76"/>
      <c r="I29" s="76"/>
      <c r="J29" s="76"/>
      <c r="K29" s="76"/>
      <c r="L29" s="76"/>
      <c r="M29" s="76"/>
    </row>
    <row r="30" spans="1:13" ht="18.5" x14ac:dyDescent="0.45">
      <c r="A30" s="76" t="s">
        <v>539</v>
      </c>
      <c r="B30" s="76" t="s">
        <v>3</v>
      </c>
      <c r="C30" s="77"/>
      <c r="D30" s="76"/>
      <c r="E30" s="76"/>
      <c r="F30" s="76"/>
      <c r="G30" s="76"/>
      <c r="H30" s="76"/>
      <c r="I30" s="76"/>
      <c r="J30" s="76"/>
      <c r="K30" s="76"/>
      <c r="L30" s="76"/>
      <c r="M30" s="76"/>
    </row>
    <row r="31" spans="1:13" ht="18.5" x14ac:dyDescent="0.45">
      <c r="A31" s="76" t="s">
        <v>540</v>
      </c>
      <c r="B31" s="76" t="s">
        <v>3</v>
      </c>
      <c r="C31" s="77"/>
      <c r="D31" s="76"/>
      <c r="E31" s="76"/>
      <c r="F31" s="76"/>
      <c r="G31" s="76"/>
      <c r="H31" s="76"/>
      <c r="I31" s="76"/>
      <c r="J31" s="76"/>
      <c r="K31" s="76"/>
      <c r="L31" s="76"/>
      <c r="M31" s="76"/>
    </row>
    <row r="32" spans="1:13" ht="18.5" x14ac:dyDescent="0.45">
      <c r="A32" s="76" t="s">
        <v>541</v>
      </c>
      <c r="B32" s="76" t="s">
        <v>3</v>
      </c>
      <c r="C32" s="77"/>
      <c r="D32" s="76"/>
      <c r="E32" s="76"/>
      <c r="F32" s="76"/>
      <c r="G32" s="76"/>
      <c r="H32" s="76"/>
      <c r="I32" s="76"/>
      <c r="J32" s="76"/>
      <c r="K32" s="76"/>
      <c r="L32" s="76"/>
      <c r="M32" s="76"/>
    </row>
    <row r="33" spans="1:13" ht="18.5" x14ac:dyDescent="0.45">
      <c r="A33" s="76" t="s">
        <v>542</v>
      </c>
      <c r="B33" s="76" t="s">
        <v>3</v>
      </c>
      <c r="C33" s="77"/>
      <c r="D33" s="76"/>
      <c r="E33" s="76"/>
      <c r="F33" s="76"/>
      <c r="G33" s="76"/>
      <c r="H33" s="76"/>
      <c r="I33" s="76"/>
      <c r="J33" s="76"/>
      <c r="K33" s="76"/>
      <c r="L33" s="76"/>
      <c r="M33" s="76"/>
    </row>
    <row r="34" spans="1:13" x14ac:dyDescent="0.35">
      <c r="C34" s="5"/>
    </row>
    <row r="35" spans="1:13" x14ac:dyDescent="0.35">
      <c r="C35" s="5"/>
    </row>
    <row r="36" spans="1:13" x14ac:dyDescent="0.35">
      <c r="C36" s="5"/>
    </row>
    <row r="37" spans="1:13" x14ac:dyDescent="0.35">
      <c r="C37" s="5"/>
    </row>
    <row r="38" spans="1:13" x14ac:dyDescent="0.35">
      <c r="C38" s="5"/>
    </row>
    <row r="39" spans="1:13" x14ac:dyDescent="0.35">
      <c r="C39" s="5"/>
    </row>
    <row r="40" spans="1:13" x14ac:dyDescent="0.35">
      <c r="C40" s="5"/>
    </row>
    <row r="41" spans="1:13" x14ac:dyDescent="0.35">
      <c r="C41" s="5"/>
    </row>
    <row r="42" spans="1:13" x14ac:dyDescent="0.35">
      <c r="C42" s="5"/>
    </row>
    <row r="43" spans="1:13" x14ac:dyDescent="0.35">
      <c r="C43" s="5"/>
    </row>
  </sheetData>
  <conditionalFormatting sqref="A3:A19 A22:A33">
    <cfRule type="expression" dxfId="130" priority="14">
      <formula>B3="Fail"</formula>
    </cfRule>
    <cfRule type="expression" dxfId="129" priority="15">
      <formula>B3="Pending"</formula>
    </cfRule>
  </conditionalFormatting>
  <conditionalFormatting sqref="A3:A19 A22:A33">
    <cfRule type="expression" dxfId="128" priority="13">
      <formula>B3="Pass"</formula>
    </cfRule>
  </conditionalFormatting>
  <conditionalFormatting sqref="A2">
    <cfRule type="expression" dxfId="127" priority="11">
      <formula>B2="Fail"</formula>
    </cfRule>
    <cfRule type="expression" dxfId="126" priority="12">
      <formula>B2="Pending"</formula>
    </cfRule>
  </conditionalFormatting>
  <conditionalFormatting sqref="A2">
    <cfRule type="expression" dxfId="125" priority="10">
      <formula>B2="Pass"</formula>
    </cfRule>
  </conditionalFormatting>
  <conditionalFormatting sqref="A20">
    <cfRule type="expression" dxfId="124" priority="8">
      <formula>B20="Fail"</formula>
    </cfRule>
    <cfRule type="expression" dxfId="123" priority="9">
      <formula>B20="Pending"</formula>
    </cfRule>
  </conditionalFormatting>
  <conditionalFormatting sqref="A20">
    <cfRule type="expression" dxfId="122" priority="7">
      <formula>B20="Pass"</formula>
    </cfRule>
  </conditionalFormatting>
  <conditionalFormatting sqref="A21">
    <cfRule type="expression" dxfId="121" priority="5">
      <formula>B21="Fail"</formula>
    </cfRule>
    <cfRule type="expression" dxfId="120" priority="6">
      <formula>B21="Pending"</formula>
    </cfRule>
  </conditionalFormatting>
  <conditionalFormatting sqref="A21">
    <cfRule type="expression" dxfId="119" priority="4">
      <formula>B21="Pass"</formula>
    </cfRule>
  </conditionalFormatting>
  <conditionalFormatting sqref="A34:A43">
    <cfRule type="expression" dxfId="118" priority="2">
      <formula>B34="Fail"</formula>
    </cfRule>
    <cfRule type="expression" dxfId="117" priority="3">
      <formula>B34="Pending"</formula>
    </cfRule>
  </conditionalFormatting>
  <conditionalFormatting sqref="A34:A43">
    <cfRule type="expression" dxfId="116" priority="1">
      <formula>B34="Pass"</formula>
    </cfRule>
  </conditionalFormatting>
  <dataValidations count="1">
    <dataValidation type="list" allowBlank="1" showInputMessage="1" showErrorMessage="1" sqref="B2:B33" xr:uid="{00000000-0002-0000-0600-000000000000}">
      <formula1>#REF!</formula1>
    </dataValidation>
  </dataValidations>
  <pageMargins left="0.7" right="0.7" top="0.75" bottom="0.75" header="0.3" footer="0.3"/>
  <pageSetup orientation="portrait" horizontalDpi="4294967295" verticalDpi="4294967295" r:id="rId1"/>
  <tableParts count="1">
    <tablePart r:id="rId2"/>
  </tableParts>
  <extLst>
    <ext xmlns:x14="http://schemas.microsoft.com/office/spreadsheetml/2009/9/main" uri="{78C0D931-6437-407d-A8EE-F0AAD7539E65}">
      <x14:conditionalFormattings>
        <x14:conditionalFormatting xmlns:xm="http://schemas.microsoft.com/office/excel/2006/main">
          <x14:cfRule type="containsText" priority="16" operator="containsText" id="{C6B7B3F4-EA9F-415A-9CC6-19DAAEEBE524}">
            <xm:f>NOT(ISERROR(SEARCH(#REF!,B2)))</xm:f>
            <xm:f>#REF!</xm:f>
            <x14:dxf>
              <font>
                <b val="0"/>
                <i val="0"/>
                <color theme="9" tint="-0.499984740745262"/>
              </font>
              <fill>
                <patternFill>
                  <bgColor theme="9" tint="0.59996337778862885"/>
                </patternFill>
              </fill>
            </x14:dxf>
          </x14:cfRule>
          <x14:cfRule type="containsText" priority="17" operator="containsText" id="{6315F507-B54C-48E4-8203-25AA786D9B09}">
            <xm:f>NOT(ISERROR(SEARCH(#REF!,B2)))</xm:f>
            <xm:f>#REF!</xm:f>
            <x14:dxf>
              <font>
                <b val="0"/>
                <i val="0"/>
                <color rgb="FFC00000"/>
              </font>
              <fill>
                <patternFill>
                  <bgColor rgb="FFFFCCCC"/>
                </patternFill>
              </fill>
            </x14:dxf>
          </x14:cfRule>
          <x14:cfRule type="containsText" priority="18" operator="containsText" id="{AD30FB7F-A1E1-4CE9-80C6-ECCE8AB5813C}">
            <xm:f>NOT(ISERROR(SEARCH(#REF!,B2)))</xm:f>
            <xm:f>#REF!</xm:f>
            <x14:dxf>
              <font>
                <b val="0"/>
                <i val="0"/>
                <color theme="7" tint="-0.499984740745262"/>
              </font>
              <fill>
                <patternFill>
                  <bgColor theme="7" tint="0.59996337778862885"/>
                </patternFill>
              </fill>
            </x14:dxf>
          </x14:cfRule>
          <xm:sqref>B2:B33</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1000000}">
          <x14:formula1>
            <xm:f>Overview!$C$9:$C$12</xm:f>
          </x14:formula1>
          <xm:sqref>D2:D33</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D42"/>
  <sheetViews>
    <sheetView workbookViewId="0">
      <selection sqref="A1:C4"/>
    </sheetView>
  </sheetViews>
  <sheetFormatPr defaultRowHeight="14.5" x14ac:dyDescent="0.35"/>
  <cols>
    <col min="1" max="1" width="10.6328125" customWidth="1"/>
    <col min="3" max="3" width="58.453125" style="5" customWidth="1"/>
    <col min="4" max="4" width="12.90625" customWidth="1"/>
  </cols>
  <sheetData>
    <row r="1" spans="1:4" x14ac:dyDescent="0.35">
      <c r="A1" s="4" t="s">
        <v>0</v>
      </c>
      <c r="B1" s="4" t="s">
        <v>5</v>
      </c>
      <c r="C1" s="6" t="s">
        <v>206</v>
      </c>
      <c r="D1" s="4" t="s">
        <v>315</v>
      </c>
    </row>
    <row r="2" spans="1:4" x14ac:dyDescent="0.35">
      <c r="A2" t="s">
        <v>6</v>
      </c>
      <c r="B2" t="s">
        <v>3</v>
      </c>
    </row>
    <row r="3" spans="1:4" x14ac:dyDescent="0.35">
      <c r="A3" t="s">
        <v>7</v>
      </c>
      <c r="B3" t="s">
        <v>3</v>
      </c>
    </row>
    <row r="4" spans="1:4" x14ac:dyDescent="0.35">
      <c r="A4" t="s">
        <v>8</v>
      </c>
      <c r="B4" t="s">
        <v>3</v>
      </c>
    </row>
    <row r="5" spans="1:4" x14ac:dyDescent="0.35">
      <c r="A5" t="s">
        <v>9</v>
      </c>
      <c r="B5" t="s">
        <v>3</v>
      </c>
    </row>
    <row r="6" spans="1:4" x14ac:dyDescent="0.35">
      <c r="A6" t="s">
        <v>10</v>
      </c>
      <c r="B6" t="s">
        <v>3</v>
      </c>
    </row>
    <row r="7" spans="1:4" x14ac:dyDescent="0.35">
      <c r="A7" t="s">
        <v>11</v>
      </c>
      <c r="B7" t="s">
        <v>1</v>
      </c>
    </row>
    <row r="8" spans="1:4" x14ac:dyDescent="0.35">
      <c r="A8" t="s">
        <v>12</v>
      </c>
      <c r="B8" t="s">
        <v>1</v>
      </c>
    </row>
    <row r="9" spans="1:4" x14ac:dyDescent="0.35">
      <c r="A9" t="s">
        <v>77</v>
      </c>
      <c r="B9" t="s">
        <v>1</v>
      </c>
    </row>
    <row r="10" spans="1:4" ht="58" x14ac:dyDescent="0.35">
      <c r="A10" t="s">
        <v>13</v>
      </c>
      <c r="B10" t="s">
        <v>2</v>
      </c>
      <c r="C10" s="5" t="s">
        <v>418</v>
      </c>
    </row>
    <row r="11" spans="1:4" x14ac:dyDescent="0.35">
      <c r="A11" t="s">
        <v>14</v>
      </c>
      <c r="B11" t="s">
        <v>1</v>
      </c>
    </row>
    <row r="12" spans="1:4" x14ac:dyDescent="0.35">
      <c r="A12" t="s">
        <v>15</v>
      </c>
      <c r="B12" t="s">
        <v>1</v>
      </c>
    </row>
    <row r="13" spans="1:4" x14ac:dyDescent="0.35">
      <c r="A13" t="s">
        <v>16</v>
      </c>
      <c r="B13" t="s">
        <v>1</v>
      </c>
    </row>
    <row r="14" spans="1:4" x14ac:dyDescent="0.35">
      <c r="A14" t="s">
        <v>17</v>
      </c>
      <c r="B14" t="s">
        <v>1</v>
      </c>
    </row>
    <row r="15" spans="1:4" x14ac:dyDescent="0.35">
      <c r="A15" t="s">
        <v>18</v>
      </c>
      <c r="B15" t="s">
        <v>1</v>
      </c>
    </row>
    <row r="16" spans="1:4" x14ac:dyDescent="0.35">
      <c r="A16" t="s">
        <v>19</v>
      </c>
      <c r="B16" t="s">
        <v>1</v>
      </c>
    </row>
    <row r="17" spans="1:2" x14ac:dyDescent="0.35">
      <c r="A17" t="s">
        <v>20</v>
      </c>
      <c r="B17" t="s">
        <v>1</v>
      </c>
    </row>
    <row r="18" spans="1:2" x14ac:dyDescent="0.35">
      <c r="A18" t="s">
        <v>21</v>
      </c>
      <c r="B18" t="s">
        <v>1</v>
      </c>
    </row>
    <row r="19" spans="1:2" x14ac:dyDescent="0.35">
      <c r="A19" t="s">
        <v>22</v>
      </c>
      <c r="B19" t="s">
        <v>1</v>
      </c>
    </row>
    <row r="20" spans="1:2" x14ac:dyDescent="0.35">
      <c r="A20" t="s">
        <v>23</v>
      </c>
      <c r="B20" t="s">
        <v>3</v>
      </c>
    </row>
    <row r="21" spans="1:2" x14ac:dyDescent="0.35">
      <c r="A21" t="s">
        <v>78</v>
      </c>
      <c r="B21" t="s">
        <v>3</v>
      </c>
    </row>
    <row r="22" spans="1:2" x14ac:dyDescent="0.35">
      <c r="A22" t="s">
        <v>24</v>
      </c>
      <c r="B22" t="s">
        <v>3</v>
      </c>
    </row>
    <row r="23" spans="1:2" x14ac:dyDescent="0.35">
      <c r="A23" t="s">
        <v>25</v>
      </c>
      <c r="B23" t="s">
        <v>2</v>
      </c>
    </row>
    <row r="24" spans="1:2" x14ac:dyDescent="0.35">
      <c r="A24" t="s">
        <v>26</v>
      </c>
      <c r="B24" t="s">
        <v>2</v>
      </c>
    </row>
    <row r="25" spans="1:2" x14ac:dyDescent="0.35">
      <c r="A25" t="s">
        <v>27</v>
      </c>
      <c r="B25" t="s">
        <v>2</v>
      </c>
    </row>
    <row r="26" spans="1:2" x14ac:dyDescent="0.35">
      <c r="A26" t="s">
        <v>28</v>
      </c>
      <c r="B26" t="s">
        <v>2</v>
      </c>
    </row>
    <row r="27" spans="1:2" x14ac:dyDescent="0.35">
      <c r="A27" t="s">
        <v>29</v>
      </c>
      <c r="B27" t="s">
        <v>2</v>
      </c>
    </row>
    <row r="28" spans="1:2" x14ac:dyDescent="0.35">
      <c r="A28" t="s">
        <v>30</v>
      </c>
      <c r="B28" t="s">
        <v>2</v>
      </c>
    </row>
    <row r="29" spans="1:2" x14ac:dyDescent="0.35">
      <c r="A29" t="s">
        <v>31</v>
      </c>
      <c r="B29" t="s">
        <v>3</v>
      </c>
    </row>
    <row r="30" spans="1:2" x14ac:dyDescent="0.35">
      <c r="A30" t="s">
        <v>32</v>
      </c>
      <c r="B30" t="s">
        <v>3</v>
      </c>
    </row>
    <row r="31" spans="1:2" x14ac:dyDescent="0.35">
      <c r="A31" t="s">
        <v>33</v>
      </c>
      <c r="B31" t="s">
        <v>3</v>
      </c>
    </row>
    <row r="32" spans="1:2" x14ac:dyDescent="0.35">
      <c r="A32" t="s">
        <v>34</v>
      </c>
      <c r="B32" t="s">
        <v>3</v>
      </c>
    </row>
    <row r="33" spans="1:2" x14ac:dyDescent="0.35">
      <c r="A33" t="s">
        <v>35</v>
      </c>
      <c r="B33" t="s">
        <v>3</v>
      </c>
    </row>
    <row r="34" spans="1:2" x14ac:dyDescent="0.35">
      <c r="A34" t="s">
        <v>36</v>
      </c>
      <c r="B34" t="s">
        <v>3</v>
      </c>
    </row>
    <row r="35" spans="1:2" x14ac:dyDescent="0.35">
      <c r="A35" t="s">
        <v>37</v>
      </c>
      <c r="B35" t="s">
        <v>3</v>
      </c>
    </row>
    <row r="36" spans="1:2" x14ac:dyDescent="0.35">
      <c r="A36" t="s">
        <v>38</v>
      </c>
      <c r="B36" t="s">
        <v>3</v>
      </c>
    </row>
    <row r="37" spans="1:2" x14ac:dyDescent="0.35">
      <c r="A37" t="s">
        <v>39</v>
      </c>
      <c r="B37" t="s">
        <v>3</v>
      </c>
    </row>
    <row r="38" spans="1:2" x14ac:dyDescent="0.35">
      <c r="A38" t="s">
        <v>79</v>
      </c>
      <c r="B38" t="s">
        <v>3</v>
      </c>
    </row>
    <row r="39" spans="1:2" x14ac:dyDescent="0.35">
      <c r="A39" t="s">
        <v>80</v>
      </c>
      <c r="B39" t="s">
        <v>3</v>
      </c>
    </row>
    <row r="40" spans="1:2" x14ac:dyDescent="0.35">
      <c r="A40" t="s">
        <v>81</v>
      </c>
      <c r="B40" t="s">
        <v>3</v>
      </c>
    </row>
    <row r="41" spans="1:2" x14ac:dyDescent="0.35">
      <c r="A41" t="s">
        <v>82</v>
      </c>
      <c r="B41" t="s">
        <v>3</v>
      </c>
    </row>
    <row r="42" spans="1:2" x14ac:dyDescent="0.35">
      <c r="A42" t="s">
        <v>83</v>
      </c>
      <c r="B42" t="s">
        <v>3</v>
      </c>
    </row>
  </sheetData>
  <conditionalFormatting sqref="A2:A42">
    <cfRule type="expression" dxfId="97" priority="2">
      <formula>B2="Fail"</formula>
    </cfRule>
    <cfRule type="expression" dxfId="96" priority="3">
      <formula>B2="Pending"</formula>
    </cfRule>
  </conditionalFormatting>
  <conditionalFormatting sqref="A2:A42">
    <cfRule type="expression" dxfId="95" priority="1">
      <formula>B2="Pass"</formula>
    </cfRule>
  </conditionalFormatting>
  <dataValidations count="1">
    <dataValidation type="list" allowBlank="1" showInputMessage="1" showErrorMessage="1" sqref="B2:B42" xr:uid="{00000000-0002-0000-0700-000000000000}">
      <formula1>#REF!</formula1>
    </dataValidation>
  </dataValidations>
  <pageMargins left="0.7" right="0.7" top="0.75" bottom="0.75" header="0.3" footer="0.3"/>
  <pageSetup orientation="portrait" horizontalDpi="4294967295" verticalDpi="4294967295" r:id="rId1"/>
  <tableParts count="1">
    <tablePart r:id="rId2"/>
  </tableParts>
  <extLst>
    <ext xmlns:x14="http://schemas.microsoft.com/office/spreadsheetml/2009/9/main" uri="{78C0D931-6437-407d-A8EE-F0AAD7539E65}">
      <x14:conditionalFormattings>
        <x14:conditionalFormatting xmlns:xm="http://schemas.microsoft.com/office/excel/2006/main">
          <x14:cfRule type="containsText" priority="4" operator="containsText" id="{E1783B5B-0C8B-4A52-B077-10651DAD36E4}">
            <xm:f>NOT(ISERROR(SEARCH(#REF!,B2)))</xm:f>
            <xm:f>#REF!</xm:f>
            <x14:dxf>
              <font>
                <b val="0"/>
                <i val="0"/>
                <color theme="9" tint="-0.499984740745262"/>
              </font>
              <fill>
                <patternFill>
                  <bgColor theme="9" tint="0.59996337778862885"/>
                </patternFill>
              </fill>
            </x14:dxf>
          </x14:cfRule>
          <x14:cfRule type="containsText" priority="5" operator="containsText" id="{14AEE263-A8B8-4166-BA1D-F2B17EE437A2}">
            <xm:f>NOT(ISERROR(SEARCH(#REF!,B2)))</xm:f>
            <xm:f>#REF!</xm:f>
            <x14:dxf>
              <font>
                <b val="0"/>
                <i val="0"/>
                <color rgb="FFC00000"/>
              </font>
              <fill>
                <patternFill>
                  <bgColor rgb="FFFFCCCC"/>
                </patternFill>
              </fill>
            </x14:dxf>
          </x14:cfRule>
          <x14:cfRule type="containsText" priority="6" operator="containsText" id="{55B4C7F3-7C7B-4C18-B403-91DB63D21077}">
            <xm:f>NOT(ISERROR(SEARCH(#REF!,B2)))</xm:f>
            <xm:f>#REF!</xm:f>
            <x14:dxf>
              <font>
                <b val="0"/>
                <i val="0"/>
                <color theme="7" tint="-0.499984740745262"/>
              </font>
              <fill>
                <patternFill>
                  <bgColor theme="7" tint="0.59996337778862885"/>
                </patternFill>
              </fill>
            </x14:dxf>
          </x14:cfRule>
          <xm:sqref>B2:B42</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1000000}">
          <x14:formula1>
            <xm:f>Overview!$C$9:$C$12</xm:f>
          </x14:formula1>
          <xm:sqref>D2:D42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2:B25"/>
  <sheetViews>
    <sheetView topLeftCell="A4" workbookViewId="0">
      <selection activeCell="H12" sqref="H12"/>
    </sheetView>
  </sheetViews>
  <sheetFormatPr defaultRowHeight="14.5" x14ac:dyDescent="0.35"/>
  <cols>
    <col min="2" max="2" width="72.36328125" style="5" customWidth="1"/>
  </cols>
  <sheetData>
    <row r="2" spans="1:2" ht="18.5" x14ac:dyDescent="0.45">
      <c r="B2" s="50" t="s">
        <v>322</v>
      </c>
    </row>
    <row r="4" spans="1:2" x14ac:dyDescent="0.35">
      <c r="B4" s="5" t="s">
        <v>325</v>
      </c>
    </row>
    <row r="6" spans="1:2" x14ac:dyDescent="0.35">
      <c r="B6" s="47" t="s">
        <v>326</v>
      </c>
    </row>
    <row r="7" spans="1:2" x14ac:dyDescent="0.35">
      <c r="B7" s="49" t="s">
        <v>345</v>
      </c>
    </row>
    <row r="8" spans="1:2" x14ac:dyDescent="0.35">
      <c r="B8" s="49" t="s">
        <v>331</v>
      </c>
    </row>
    <row r="10" spans="1:2" x14ac:dyDescent="0.35">
      <c r="B10" s="47" t="s">
        <v>333</v>
      </c>
    </row>
    <row r="11" spans="1:2" ht="29" x14ac:dyDescent="0.35">
      <c r="A11" s="48" t="s">
        <v>330</v>
      </c>
      <c r="B11" s="49" t="s">
        <v>336</v>
      </c>
    </row>
    <row r="12" spans="1:2" ht="43.5" x14ac:dyDescent="0.35">
      <c r="A12" s="48" t="s">
        <v>328</v>
      </c>
      <c r="B12" s="49" t="s">
        <v>329</v>
      </c>
    </row>
    <row r="13" spans="1:2" ht="29" x14ac:dyDescent="0.35">
      <c r="A13" s="48" t="s">
        <v>327</v>
      </c>
      <c r="B13" s="49" t="s">
        <v>335</v>
      </c>
    </row>
    <row r="14" spans="1:2" x14ac:dyDescent="0.35">
      <c r="A14" s="48" t="s">
        <v>332</v>
      </c>
      <c r="B14" s="49" t="s">
        <v>337</v>
      </c>
    </row>
    <row r="16" spans="1:2" x14ac:dyDescent="0.35">
      <c r="B16" s="47" t="s">
        <v>334</v>
      </c>
    </row>
    <row r="17" spans="1:2" x14ac:dyDescent="0.35">
      <c r="B17" s="49" t="s">
        <v>338</v>
      </c>
    </row>
    <row r="19" spans="1:2" x14ac:dyDescent="0.35">
      <c r="B19" s="47" t="s">
        <v>339</v>
      </c>
    </row>
    <row r="20" spans="1:2" x14ac:dyDescent="0.35">
      <c r="A20" t="s">
        <v>340</v>
      </c>
      <c r="B20" s="49" t="s">
        <v>341</v>
      </c>
    </row>
    <row r="21" spans="1:2" ht="29" x14ac:dyDescent="0.35">
      <c r="B21" s="49" t="s">
        <v>344</v>
      </c>
    </row>
    <row r="22" spans="1:2" ht="43.5" x14ac:dyDescent="0.35">
      <c r="B22" s="49" t="s">
        <v>343</v>
      </c>
    </row>
    <row r="23" spans="1:2" ht="100.75" customHeight="1" x14ac:dyDescent="0.35">
      <c r="B23" s="49"/>
    </row>
    <row r="24" spans="1:2" ht="29" x14ac:dyDescent="0.35">
      <c r="B24" s="49" t="s">
        <v>342</v>
      </c>
    </row>
    <row r="25" spans="1:2" ht="148.25" customHeight="1" x14ac:dyDescent="0.35">
      <c r="B25" s="49"/>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O41"/>
  <sheetViews>
    <sheetView topLeftCell="A34" workbookViewId="0">
      <selection activeCell="C20" sqref="C20"/>
    </sheetView>
  </sheetViews>
  <sheetFormatPr defaultRowHeight="14.5" x14ac:dyDescent="0.35"/>
  <cols>
    <col min="1" max="1" width="10.6328125" customWidth="1"/>
    <col min="3" max="3" width="28.54296875" style="5" customWidth="1"/>
    <col min="4" max="4" width="12.90625" customWidth="1"/>
    <col min="6" max="6" width="10.90625" customWidth="1"/>
  </cols>
  <sheetData>
    <row r="1" spans="1:15" x14ac:dyDescent="0.35">
      <c r="A1" s="4" t="s">
        <v>0</v>
      </c>
      <c r="B1" s="4" t="s">
        <v>5</v>
      </c>
      <c r="C1" s="6" t="s">
        <v>206</v>
      </c>
      <c r="D1" s="4" t="s">
        <v>315</v>
      </c>
      <c r="E1" s="63" t="s">
        <v>359</v>
      </c>
      <c r="F1" s="63" t="s">
        <v>360</v>
      </c>
      <c r="G1" s="63" t="s">
        <v>361</v>
      </c>
      <c r="H1" s="63" t="s">
        <v>362</v>
      </c>
      <c r="I1" s="63" t="s">
        <v>363</v>
      </c>
      <c r="J1" s="63" t="s">
        <v>364</v>
      </c>
      <c r="K1" s="63" t="s">
        <v>365</v>
      </c>
      <c r="L1" s="63" t="s">
        <v>366</v>
      </c>
      <c r="M1" s="63" t="s">
        <v>367</v>
      </c>
      <c r="N1" s="63" t="s">
        <v>376</v>
      </c>
      <c r="O1" s="64" t="s">
        <v>374</v>
      </c>
    </row>
    <row r="2" spans="1:15" x14ac:dyDescent="0.35">
      <c r="A2" t="s">
        <v>207</v>
      </c>
      <c r="B2" t="s">
        <v>3</v>
      </c>
    </row>
    <row r="3" spans="1:15" ht="19.25" customHeight="1" x14ac:dyDescent="0.35">
      <c r="A3" t="s">
        <v>208</v>
      </c>
      <c r="B3" t="s">
        <v>2</v>
      </c>
      <c r="F3" t="s">
        <v>394</v>
      </c>
      <c r="G3" s="5" t="s">
        <v>396</v>
      </c>
      <c r="H3" t="s">
        <v>356</v>
      </c>
      <c r="K3" t="s">
        <v>395</v>
      </c>
      <c r="L3">
        <v>71</v>
      </c>
    </row>
    <row r="4" spans="1:15" ht="21" customHeight="1" x14ac:dyDescent="0.35">
      <c r="A4" t="s">
        <v>209</v>
      </c>
      <c r="B4" t="s">
        <v>2</v>
      </c>
      <c r="C4" s="5" t="s">
        <v>419</v>
      </c>
      <c r="F4" t="s">
        <v>397</v>
      </c>
      <c r="G4" s="61">
        <v>0.4</v>
      </c>
      <c r="H4" t="s">
        <v>356</v>
      </c>
      <c r="K4" s="5" t="s">
        <v>398</v>
      </c>
      <c r="L4">
        <v>71</v>
      </c>
    </row>
    <row r="5" spans="1:15" x14ac:dyDescent="0.35">
      <c r="A5" t="s">
        <v>210</v>
      </c>
      <c r="B5" t="s">
        <v>3</v>
      </c>
    </row>
    <row r="6" spans="1:15" x14ac:dyDescent="0.35">
      <c r="A6" t="s">
        <v>211</v>
      </c>
      <c r="B6" t="s">
        <v>3</v>
      </c>
    </row>
    <row r="7" spans="1:15" x14ac:dyDescent="0.35">
      <c r="A7" t="s">
        <v>212</v>
      </c>
      <c r="B7" t="s">
        <v>3</v>
      </c>
    </row>
    <row r="8" spans="1:15" x14ac:dyDescent="0.35">
      <c r="A8" t="s">
        <v>213</v>
      </c>
      <c r="B8" t="s">
        <v>3</v>
      </c>
    </row>
    <row r="9" spans="1:15" ht="112.75" customHeight="1" x14ac:dyDescent="0.35">
      <c r="A9" t="s">
        <v>214</v>
      </c>
      <c r="B9" t="s">
        <v>1</v>
      </c>
      <c r="C9" s="5" t="s">
        <v>433</v>
      </c>
      <c r="E9" t="s">
        <v>436</v>
      </c>
      <c r="F9" t="s">
        <v>434</v>
      </c>
      <c r="G9" s="61">
        <v>125</v>
      </c>
      <c r="H9" t="s">
        <v>356</v>
      </c>
      <c r="J9" t="s">
        <v>437</v>
      </c>
      <c r="K9" t="s">
        <v>438</v>
      </c>
      <c r="L9">
        <v>71</v>
      </c>
      <c r="M9" t="s">
        <v>435</v>
      </c>
    </row>
    <row r="10" spans="1:15" x14ac:dyDescent="0.35">
      <c r="A10" t="s">
        <v>215</v>
      </c>
      <c r="B10" t="s">
        <v>3</v>
      </c>
    </row>
    <row r="11" spans="1:15" x14ac:dyDescent="0.35">
      <c r="A11" t="s">
        <v>216</v>
      </c>
      <c r="B11" t="s">
        <v>3</v>
      </c>
    </row>
    <row r="12" spans="1:15" x14ac:dyDescent="0.35">
      <c r="A12" t="s">
        <v>217</v>
      </c>
      <c r="B12" t="s">
        <v>3</v>
      </c>
    </row>
    <row r="13" spans="1:15" x14ac:dyDescent="0.35">
      <c r="A13" t="s">
        <v>218</v>
      </c>
      <c r="B13" t="s">
        <v>3</v>
      </c>
    </row>
    <row r="14" spans="1:15" x14ac:dyDescent="0.35">
      <c r="A14" t="s">
        <v>219</v>
      </c>
      <c r="B14" t="s">
        <v>3</v>
      </c>
    </row>
    <row r="15" spans="1:15" x14ac:dyDescent="0.35">
      <c r="A15" t="s">
        <v>220</v>
      </c>
      <c r="B15" t="s">
        <v>3</v>
      </c>
    </row>
    <row r="16" spans="1:15" x14ac:dyDescent="0.35">
      <c r="A16" t="s">
        <v>221</v>
      </c>
      <c r="B16" t="s">
        <v>3</v>
      </c>
    </row>
    <row r="17" spans="1:2" x14ac:dyDescent="0.35">
      <c r="A17" t="s">
        <v>222</v>
      </c>
      <c r="B17" t="s">
        <v>3</v>
      </c>
    </row>
    <row r="18" spans="1:2" x14ac:dyDescent="0.35">
      <c r="A18" t="s">
        <v>223</v>
      </c>
      <c r="B18" t="s">
        <v>3</v>
      </c>
    </row>
    <row r="19" spans="1:2" x14ac:dyDescent="0.35">
      <c r="A19" t="s">
        <v>224</v>
      </c>
      <c r="B19" t="s">
        <v>3</v>
      </c>
    </row>
    <row r="20" spans="1:2" x14ac:dyDescent="0.35">
      <c r="A20" t="s">
        <v>225</v>
      </c>
      <c r="B20" t="s">
        <v>3</v>
      </c>
    </row>
    <row r="21" spans="1:2" x14ac:dyDescent="0.35">
      <c r="A21" t="s">
        <v>226</v>
      </c>
      <c r="B21" t="s">
        <v>3</v>
      </c>
    </row>
    <row r="22" spans="1:2" x14ac:dyDescent="0.35">
      <c r="A22" t="s">
        <v>227</v>
      </c>
      <c r="B22" t="s">
        <v>3</v>
      </c>
    </row>
    <row r="23" spans="1:2" x14ac:dyDescent="0.35">
      <c r="A23" t="s">
        <v>228</v>
      </c>
      <c r="B23" t="s">
        <v>3</v>
      </c>
    </row>
    <row r="24" spans="1:2" x14ac:dyDescent="0.35">
      <c r="A24" t="s">
        <v>229</v>
      </c>
      <c r="B24" t="s">
        <v>3</v>
      </c>
    </row>
    <row r="25" spans="1:2" x14ac:dyDescent="0.35">
      <c r="A25" t="s">
        <v>230</v>
      </c>
      <c r="B25" t="s">
        <v>3</v>
      </c>
    </row>
    <row r="26" spans="1:2" x14ac:dyDescent="0.35">
      <c r="A26" t="s">
        <v>231</v>
      </c>
      <c r="B26" t="s">
        <v>3</v>
      </c>
    </row>
    <row r="27" spans="1:2" x14ac:dyDescent="0.35">
      <c r="A27" t="s">
        <v>232</v>
      </c>
      <c r="B27" t="s">
        <v>3</v>
      </c>
    </row>
    <row r="28" spans="1:2" x14ac:dyDescent="0.35">
      <c r="A28" t="s">
        <v>233</v>
      </c>
      <c r="B28" t="s">
        <v>3</v>
      </c>
    </row>
    <row r="29" spans="1:2" x14ac:dyDescent="0.35">
      <c r="A29" t="s">
        <v>32</v>
      </c>
      <c r="B29" t="s">
        <v>3</v>
      </c>
    </row>
    <row r="30" spans="1:2" x14ac:dyDescent="0.35">
      <c r="A30" t="s">
        <v>33</v>
      </c>
      <c r="B30" t="s">
        <v>3</v>
      </c>
    </row>
    <row r="31" spans="1:2" x14ac:dyDescent="0.35">
      <c r="A31" t="s">
        <v>34</v>
      </c>
      <c r="B31" t="s">
        <v>3</v>
      </c>
    </row>
    <row r="32" spans="1:2" x14ac:dyDescent="0.35">
      <c r="A32" t="s">
        <v>35</v>
      </c>
      <c r="B32" t="s">
        <v>3</v>
      </c>
    </row>
    <row r="33" spans="1:2" x14ac:dyDescent="0.35">
      <c r="A33" t="s">
        <v>36</v>
      </c>
      <c r="B33" t="s">
        <v>3</v>
      </c>
    </row>
    <row r="34" spans="1:2" x14ac:dyDescent="0.35">
      <c r="A34" t="s">
        <v>37</v>
      </c>
      <c r="B34" t="s">
        <v>3</v>
      </c>
    </row>
    <row r="35" spans="1:2" x14ac:dyDescent="0.35">
      <c r="A35" t="s">
        <v>38</v>
      </c>
      <c r="B35" t="s">
        <v>3</v>
      </c>
    </row>
    <row r="36" spans="1:2" x14ac:dyDescent="0.35">
      <c r="A36" t="s">
        <v>39</v>
      </c>
      <c r="B36" t="s">
        <v>3</v>
      </c>
    </row>
    <row r="37" spans="1:2" x14ac:dyDescent="0.35">
      <c r="A37" t="s">
        <v>79</v>
      </c>
      <c r="B37" t="s">
        <v>3</v>
      </c>
    </row>
    <row r="38" spans="1:2" x14ac:dyDescent="0.35">
      <c r="A38" t="s">
        <v>80</v>
      </c>
      <c r="B38" t="s">
        <v>3</v>
      </c>
    </row>
    <row r="39" spans="1:2" x14ac:dyDescent="0.35">
      <c r="A39" t="s">
        <v>81</v>
      </c>
      <c r="B39" t="s">
        <v>3</v>
      </c>
    </row>
    <row r="40" spans="1:2" x14ac:dyDescent="0.35">
      <c r="A40" t="s">
        <v>82</v>
      </c>
      <c r="B40" t="s">
        <v>3</v>
      </c>
    </row>
    <row r="41" spans="1:2" x14ac:dyDescent="0.35">
      <c r="A41" t="s">
        <v>83</v>
      </c>
      <c r="B41" t="s">
        <v>3</v>
      </c>
    </row>
  </sheetData>
  <conditionalFormatting sqref="A2:A41">
    <cfRule type="expression" dxfId="89" priority="2">
      <formula>B2="Fail"</formula>
    </cfRule>
    <cfRule type="expression" dxfId="88" priority="3">
      <formula>B2="Pending"</formula>
    </cfRule>
  </conditionalFormatting>
  <conditionalFormatting sqref="A2:A41">
    <cfRule type="expression" dxfId="87" priority="1">
      <formula>B2="Pass"</formula>
    </cfRule>
  </conditionalFormatting>
  <dataValidations count="1">
    <dataValidation type="list" allowBlank="1" showInputMessage="1" showErrorMessage="1" sqref="B2:B41" xr:uid="{00000000-0002-0000-0900-000000000000}">
      <formula1>#REF!</formula1>
    </dataValidation>
  </dataValidations>
  <pageMargins left="0.7" right="0.7" top="0.75" bottom="0.75" header="0.3" footer="0.3"/>
  <pageSetup orientation="portrait" horizontalDpi="4294967295" verticalDpi="4294967295" r:id="rId1"/>
  <tableParts count="1">
    <tablePart r:id="rId2"/>
  </tableParts>
  <extLst>
    <ext xmlns:x14="http://schemas.microsoft.com/office/spreadsheetml/2009/9/main" uri="{78C0D931-6437-407d-A8EE-F0AAD7539E65}">
      <x14:conditionalFormattings>
        <x14:conditionalFormatting xmlns:xm="http://schemas.microsoft.com/office/excel/2006/main">
          <x14:cfRule type="containsText" priority="4" operator="containsText" id="{0EFD6480-3F9F-4BB6-916E-E2BFA7B8099A}">
            <xm:f>NOT(ISERROR(SEARCH(#REF!,B2)))</xm:f>
            <xm:f>#REF!</xm:f>
            <x14:dxf>
              <font>
                <b val="0"/>
                <i val="0"/>
                <color theme="9" tint="-0.499984740745262"/>
              </font>
              <fill>
                <patternFill>
                  <bgColor theme="9" tint="0.59996337778862885"/>
                </patternFill>
              </fill>
            </x14:dxf>
          </x14:cfRule>
          <x14:cfRule type="containsText" priority="5" operator="containsText" id="{DFBE8435-C8DF-4E73-9F93-56B86FB326EE}">
            <xm:f>NOT(ISERROR(SEARCH(#REF!,B2)))</xm:f>
            <xm:f>#REF!</xm:f>
            <x14:dxf>
              <font>
                <b val="0"/>
                <i val="0"/>
                <color rgb="FFC00000"/>
              </font>
              <fill>
                <patternFill>
                  <bgColor rgb="FFFFCCCC"/>
                </patternFill>
              </fill>
            </x14:dxf>
          </x14:cfRule>
          <x14:cfRule type="containsText" priority="6" operator="containsText" id="{75EBFF7E-C10D-4991-A275-648F411E6E63}">
            <xm:f>NOT(ISERROR(SEARCH(#REF!,B2)))</xm:f>
            <xm:f>#REF!</xm:f>
            <x14:dxf>
              <font>
                <b val="0"/>
                <i val="0"/>
                <color theme="7" tint="-0.499984740745262"/>
              </font>
              <fill>
                <patternFill>
                  <bgColor theme="7" tint="0.59996337778862885"/>
                </patternFill>
              </fill>
            </x14:dxf>
          </x14:cfRule>
          <xm:sqref>B2:B41</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Overview!$C$9:$C$12</xm:f>
          </x14:formula1>
          <xm:sqref>D2:D41</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D21"/>
  <sheetViews>
    <sheetView workbookViewId="0">
      <selection activeCell="D10" sqref="D10"/>
    </sheetView>
  </sheetViews>
  <sheetFormatPr defaultRowHeight="14.5" x14ac:dyDescent="0.35"/>
  <cols>
    <col min="1" max="1" width="10.6328125" customWidth="1"/>
    <col min="3" max="3" width="58.453125" style="5" customWidth="1"/>
    <col min="4" max="4" width="12.90625" customWidth="1"/>
  </cols>
  <sheetData>
    <row r="1" spans="1:4" x14ac:dyDescent="0.35">
      <c r="A1" s="1" t="s">
        <v>1</v>
      </c>
      <c r="B1">
        <f>COUNTIF(Table3219[Result],"Pass")</f>
        <v>0</v>
      </c>
    </row>
    <row r="2" spans="1:4" x14ac:dyDescent="0.35">
      <c r="A2" s="2" t="s">
        <v>2</v>
      </c>
      <c r="B2">
        <f>COUNTIF(Table3219[Result],"Fail")</f>
        <v>0</v>
      </c>
    </row>
    <row r="3" spans="1:4" x14ac:dyDescent="0.35">
      <c r="A3" s="3" t="s">
        <v>3</v>
      </c>
      <c r="B3">
        <f>COUNTIF(Table3219[Result],"Pending")</f>
        <v>16</v>
      </c>
    </row>
    <row r="4" spans="1:4" x14ac:dyDescent="0.35">
      <c r="A4" t="s">
        <v>4</v>
      </c>
      <c r="B4">
        <f>COUNTA(Table3219[Result])</f>
        <v>16</v>
      </c>
    </row>
    <row r="5" spans="1:4" x14ac:dyDescent="0.35">
      <c r="A5" s="4" t="s">
        <v>0</v>
      </c>
      <c r="B5" s="4" t="s">
        <v>5</v>
      </c>
      <c r="C5" s="6" t="s">
        <v>206</v>
      </c>
      <c r="D5" s="4" t="s">
        <v>315</v>
      </c>
    </row>
    <row r="6" spans="1:4" x14ac:dyDescent="0.35">
      <c r="B6" t="s">
        <v>3</v>
      </c>
    </row>
    <row r="7" spans="1:4" x14ac:dyDescent="0.35">
      <c r="B7" t="s">
        <v>3</v>
      </c>
    </row>
    <row r="8" spans="1:4" x14ac:dyDescent="0.35">
      <c r="B8" t="s">
        <v>3</v>
      </c>
    </row>
    <row r="9" spans="1:4" x14ac:dyDescent="0.35">
      <c r="B9" t="s">
        <v>3</v>
      </c>
    </row>
    <row r="10" spans="1:4" x14ac:dyDescent="0.35">
      <c r="B10" t="s">
        <v>3</v>
      </c>
    </row>
    <row r="11" spans="1:4" x14ac:dyDescent="0.35">
      <c r="B11" t="s">
        <v>3</v>
      </c>
    </row>
    <row r="12" spans="1:4" x14ac:dyDescent="0.35">
      <c r="B12" t="s">
        <v>3</v>
      </c>
    </row>
    <row r="13" spans="1:4" x14ac:dyDescent="0.35">
      <c r="B13" t="s">
        <v>3</v>
      </c>
    </row>
    <row r="14" spans="1:4" x14ac:dyDescent="0.35">
      <c r="B14" t="s">
        <v>3</v>
      </c>
    </row>
    <row r="15" spans="1:4" x14ac:dyDescent="0.35">
      <c r="B15" t="s">
        <v>3</v>
      </c>
    </row>
    <row r="16" spans="1:4" x14ac:dyDescent="0.35">
      <c r="B16" t="s">
        <v>3</v>
      </c>
    </row>
    <row r="17" spans="2:2" x14ac:dyDescent="0.35">
      <c r="B17" t="s">
        <v>3</v>
      </c>
    </row>
    <row r="18" spans="2:2" x14ac:dyDescent="0.35">
      <c r="B18" t="s">
        <v>3</v>
      </c>
    </row>
    <row r="19" spans="2:2" x14ac:dyDescent="0.35">
      <c r="B19" t="s">
        <v>3</v>
      </c>
    </row>
    <row r="20" spans="2:2" x14ac:dyDescent="0.35">
      <c r="B20" t="s">
        <v>3</v>
      </c>
    </row>
    <row r="21" spans="2:2" x14ac:dyDescent="0.35">
      <c r="B21" t="s">
        <v>3</v>
      </c>
    </row>
  </sheetData>
  <conditionalFormatting sqref="A6:A21">
    <cfRule type="expression" dxfId="81" priority="2">
      <formula>B6="Fail"</formula>
    </cfRule>
    <cfRule type="expression" dxfId="80" priority="3">
      <formula>B6="Pending"</formula>
    </cfRule>
  </conditionalFormatting>
  <conditionalFormatting sqref="A6:A21">
    <cfRule type="expression" dxfId="79" priority="1">
      <formula>B6="Pass"</formula>
    </cfRule>
  </conditionalFormatting>
  <dataValidations count="1">
    <dataValidation type="list" allowBlank="1" showInputMessage="1" showErrorMessage="1" sqref="B6:B21" xr:uid="{00000000-0002-0000-0A00-000000000000}">
      <formula1>$A$1:$A$3</formula1>
    </dataValidation>
  </dataValidations>
  <pageMargins left="0.7" right="0.7" top="0.75" bottom="0.75" header="0.3" footer="0.3"/>
  <pageSetup orientation="portrait" horizontalDpi="4294967295" verticalDpi="4294967295" r:id="rId1"/>
  <tableParts count="1">
    <tablePart r:id="rId2"/>
  </tableParts>
  <extLst>
    <ext xmlns:x14="http://schemas.microsoft.com/office/spreadsheetml/2009/9/main" uri="{78C0D931-6437-407d-A8EE-F0AAD7539E65}">
      <x14:conditionalFormattings>
        <x14:conditionalFormatting xmlns:xm="http://schemas.microsoft.com/office/excel/2006/main">
          <x14:cfRule type="containsText" priority="4" operator="containsText" id="{9633EDFA-42E9-4700-B19C-AD26DF7E664A}">
            <xm:f>NOT(ISERROR(SEARCH($A$1,B6)))</xm:f>
            <xm:f>$A$1</xm:f>
            <x14:dxf>
              <font>
                <b val="0"/>
                <i val="0"/>
                <color theme="9" tint="-0.499984740745262"/>
              </font>
              <fill>
                <patternFill>
                  <bgColor theme="9" tint="0.59996337778862885"/>
                </patternFill>
              </fill>
            </x14:dxf>
          </x14:cfRule>
          <x14:cfRule type="containsText" priority="5" operator="containsText" id="{C63404E3-5BEE-495F-B9A3-8EC7E26DC37F}">
            <xm:f>NOT(ISERROR(SEARCH($A$2,B6)))</xm:f>
            <xm:f>$A$2</xm:f>
            <x14:dxf>
              <font>
                <b val="0"/>
                <i val="0"/>
                <color rgb="FFC00000"/>
              </font>
              <fill>
                <patternFill>
                  <bgColor rgb="FFFFCCCC"/>
                </patternFill>
              </fill>
            </x14:dxf>
          </x14:cfRule>
          <x14:cfRule type="containsText" priority="6" operator="containsText" id="{EFB60834-D17D-4ADB-9032-60841A2A81F6}">
            <xm:f>NOT(ISERROR(SEARCH($A$3,B6)))</xm:f>
            <xm:f>$A$3</xm:f>
            <x14:dxf>
              <font>
                <b val="0"/>
                <i val="0"/>
                <color theme="7" tint="-0.499984740745262"/>
              </font>
              <fill>
                <patternFill>
                  <bgColor theme="7" tint="0.59996337778862885"/>
                </patternFill>
              </fill>
            </x14:dxf>
          </x14:cfRule>
          <xm:sqref>B6:B21</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1000000}">
          <x14:formula1>
            <xm:f>Overview!$C$9:$C$12</xm:f>
          </x14:formula1>
          <xm:sqref>D6:D21</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R79"/>
  <sheetViews>
    <sheetView zoomScale="85" zoomScaleNormal="85" workbookViewId="0">
      <selection sqref="A1:C4"/>
    </sheetView>
  </sheetViews>
  <sheetFormatPr defaultRowHeight="14.5" x14ac:dyDescent="0.35"/>
  <cols>
    <col min="1" max="1" width="38.6328125" customWidth="1"/>
    <col min="3" max="3" width="55.6328125" customWidth="1"/>
    <col min="4" max="4" width="12.90625" bestFit="1" customWidth="1"/>
    <col min="7" max="7" width="8.81640625" bestFit="1" customWidth="1"/>
    <col min="11" max="11" width="15.453125" customWidth="1"/>
    <col min="12" max="12" width="8.81640625" bestFit="1" customWidth="1"/>
    <col min="14" max="14" width="9.54296875" bestFit="1" customWidth="1"/>
    <col min="15" max="15" width="10.1796875" bestFit="1" customWidth="1"/>
    <col min="16" max="16" width="8.81640625" bestFit="1" customWidth="1"/>
    <col min="17" max="17" width="18" bestFit="1" customWidth="1"/>
    <col min="18" max="18" width="8.81640625" bestFit="1" customWidth="1"/>
  </cols>
  <sheetData>
    <row r="1" spans="1:18" x14ac:dyDescent="0.35">
      <c r="A1" s="4" t="s">
        <v>0</v>
      </c>
      <c r="B1" s="4" t="s">
        <v>5</v>
      </c>
      <c r="C1" s="4" t="s">
        <v>206</v>
      </c>
      <c r="D1" s="4" t="s">
        <v>315</v>
      </c>
      <c r="E1" s="4" t="s">
        <v>359</v>
      </c>
      <c r="F1" s="4" t="s">
        <v>360</v>
      </c>
      <c r="G1" s="4" t="s">
        <v>361</v>
      </c>
      <c r="H1" s="4" t="s">
        <v>362</v>
      </c>
      <c r="I1" s="4" t="s">
        <v>363</v>
      </c>
      <c r="J1" s="4" t="s">
        <v>364</v>
      </c>
      <c r="K1" s="4" t="s">
        <v>365</v>
      </c>
      <c r="L1" s="4" t="s">
        <v>366</v>
      </c>
      <c r="M1" s="62" t="s">
        <v>367</v>
      </c>
      <c r="N1" s="62" t="s">
        <v>400</v>
      </c>
      <c r="O1" s="62" t="s">
        <v>374</v>
      </c>
      <c r="P1" s="62" t="s">
        <v>403</v>
      </c>
      <c r="Q1" s="69" t="s">
        <v>463</v>
      </c>
      <c r="R1" s="4" t="s">
        <v>477</v>
      </c>
    </row>
    <row r="2" spans="1:18" ht="62" x14ac:dyDescent="0.35">
      <c r="A2" s="81" t="s">
        <v>40</v>
      </c>
      <c r="B2" s="72" t="s">
        <v>2</v>
      </c>
      <c r="C2" s="73" t="s">
        <v>510</v>
      </c>
      <c r="D2" s="72" t="s">
        <v>353</v>
      </c>
      <c r="E2" s="72" t="s">
        <v>355</v>
      </c>
      <c r="F2" s="72" t="s">
        <v>399</v>
      </c>
      <c r="G2" s="74">
        <v>26.2</v>
      </c>
      <c r="H2" s="72" t="s">
        <v>356</v>
      </c>
      <c r="I2" s="72"/>
      <c r="J2" s="72" t="s">
        <v>402</v>
      </c>
      <c r="K2" s="72" t="s">
        <v>404</v>
      </c>
      <c r="L2" s="72"/>
      <c r="M2" s="72"/>
      <c r="N2" s="72" t="s">
        <v>401</v>
      </c>
      <c r="O2" s="75">
        <v>43215</v>
      </c>
      <c r="P2" s="72">
        <v>25</v>
      </c>
      <c r="Q2" s="72"/>
      <c r="R2" s="72"/>
    </row>
    <row r="3" spans="1:18" ht="15.5" x14ac:dyDescent="0.35">
      <c r="A3" s="81" t="s">
        <v>543</v>
      </c>
      <c r="B3" s="72" t="s">
        <v>3</v>
      </c>
      <c r="C3" s="72"/>
      <c r="D3" s="72"/>
      <c r="E3" s="72"/>
      <c r="F3" s="72"/>
      <c r="G3" s="72"/>
      <c r="H3" s="72"/>
      <c r="I3" s="72"/>
      <c r="J3" s="72"/>
      <c r="K3" s="72"/>
      <c r="L3" s="72"/>
      <c r="M3" s="72"/>
      <c r="N3" s="72"/>
      <c r="O3" s="72"/>
      <c r="P3" s="72"/>
      <c r="Q3" s="72"/>
      <c r="R3" s="72"/>
    </row>
    <row r="4" spans="1:18" ht="15.5" x14ac:dyDescent="0.35">
      <c r="A4" s="81" t="s">
        <v>544</v>
      </c>
      <c r="B4" s="72" t="s">
        <v>3</v>
      </c>
      <c r="C4" s="73"/>
      <c r="D4" s="72"/>
      <c r="E4" s="72"/>
      <c r="F4" s="72"/>
      <c r="G4" s="72"/>
      <c r="H4" s="72"/>
      <c r="I4" s="72"/>
      <c r="J4" s="72"/>
      <c r="K4" s="72"/>
      <c r="L4" s="72"/>
      <c r="M4" s="72"/>
      <c r="N4" s="72"/>
      <c r="O4" s="72"/>
      <c r="P4" s="72"/>
      <c r="Q4" s="72"/>
      <c r="R4" s="72"/>
    </row>
    <row r="5" spans="1:18" ht="62" x14ac:dyDescent="0.35">
      <c r="A5" s="81" t="s">
        <v>545</v>
      </c>
      <c r="B5" s="72" t="s">
        <v>2</v>
      </c>
      <c r="C5" s="82" t="s">
        <v>472</v>
      </c>
      <c r="D5" s="72" t="s">
        <v>353</v>
      </c>
      <c r="E5" s="72" t="s">
        <v>475</v>
      </c>
      <c r="F5" s="72" t="s">
        <v>473</v>
      </c>
      <c r="G5" s="74">
        <v>5.0199999999999996</v>
      </c>
      <c r="H5" s="72" t="s">
        <v>474</v>
      </c>
      <c r="I5" s="72" t="s">
        <v>388</v>
      </c>
      <c r="J5" s="72" t="s">
        <v>413</v>
      </c>
      <c r="K5" s="72" t="s">
        <v>478</v>
      </c>
      <c r="L5" s="72" t="s">
        <v>479</v>
      </c>
      <c r="M5" s="72" t="s">
        <v>476</v>
      </c>
      <c r="N5" s="72" t="s">
        <v>415</v>
      </c>
      <c r="O5" s="75">
        <v>43256</v>
      </c>
      <c r="P5" s="83">
        <v>21</v>
      </c>
      <c r="Q5" s="72">
        <v>88473271</v>
      </c>
      <c r="R5" s="72">
        <v>174000</v>
      </c>
    </row>
    <row r="6" spans="1:18" ht="15.5" x14ac:dyDescent="0.35">
      <c r="A6" s="81" t="s">
        <v>546</v>
      </c>
      <c r="B6" s="72" t="s">
        <v>3</v>
      </c>
      <c r="C6" s="72"/>
      <c r="D6" s="72"/>
      <c r="E6" s="72"/>
      <c r="F6" s="72"/>
      <c r="G6" s="72"/>
      <c r="H6" s="72"/>
      <c r="I6" s="72"/>
      <c r="J6" s="72"/>
      <c r="K6" s="72"/>
      <c r="L6" s="72"/>
      <c r="M6" s="72"/>
      <c r="N6" s="72"/>
      <c r="O6" s="72"/>
      <c r="P6" s="72"/>
      <c r="Q6" s="72"/>
      <c r="R6" s="72"/>
    </row>
    <row r="7" spans="1:18" ht="31" x14ac:dyDescent="0.35">
      <c r="A7" s="81" t="s">
        <v>547</v>
      </c>
      <c r="B7" s="72" t="s">
        <v>3</v>
      </c>
      <c r="C7" s="73" t="s">
        <v>354</v>
      </c>
      <c r="D7" s="72" t="s">
        <v>350</v>
      </c>
      <c r="E7" s="72"/>
      <c r="F7" s="72"/>
      <c r="G7" s="74">
        <v>10</v>
      </c>
      <c r="H7" s="72"/>
      <c r="I7" s="72"/>
      <c r="J7" s="72"/>
      <c r="K7" s="72"/>
      <c r="L7" s="72">
        <v>801</v>
      </c>
      <c r="M7" s="72"/>
      <c r="N7" s="72"/>
      <c r="O7" s="72"/>
      <c r="P7" s="72"/>
      <c r="Q7" s="72"/>
      <c r="R7" s="72"/>
    </row>
    <row r="8" spans="1:18" ht="124" x14ac:dyDescent="0.35">
      <c r="A8" s="81" t="s">
        <v>548</v>
      </c>
      <c r="B8" s="72" t="s">
        <v>2</v>
      </c>
      <c r="C8" s="73" t="s">
        <v>417</v>
      </c>
      <c r="D8" s="72" t="s">
        <v>353</v>
      </c>
      <c r="E8" s="72" t="s">
        <v>355</v>
      </c>
      <c r="F8" s="72"/>
      <c r="G8" s="74">
        <v>40</v>
      </c>
      <c r="H8" s="72" t="s">
        <v>356</v>
      </c>
      <c r="I8" s="72" t="s">
        <v>357</v>
      </c>
      <c r="J8" s="72" t="s">
        <v>358</v>
      </c>
      <c r="K8" s="73" t="s">
        <v>405</v>
      </c>
      <c r="L8" s="72">
        <v>51</v>
      </c>
      <c r="M8" s="72"/>
      <c r="N8" s="72"/>
      <c r="O8" s="75">
        <v>43217</v>
      </c>
      <c r="P8" s="72">
        <v>25</v>
      </c>
      <c r="Q8" s="72"/>
      <c r="R8" s="72"/>
    </row>
    <row r="9" spans="1:18" ht="15.5" x14ac:dyDescent="0.35">
      <c r="A9" s="81" t="s">
        <v>549</v>
      </c>
      <c r="B9" s="72" t="s">
        <v>3</v>
      </c>
      <c r="C9" s="72"/>
      <c r="D9" s="72"/>
      <c r="E9" s="72"/>
      <c r="F9" s="72"/>
      <c r="G9" s="72"/>
      <c r="H9" s="72"/>
      <c r="I9" s="72"/>
      <c r="J9" s="72"/>
      <c r="K9" s="72"/>
      <c r="L9" s="72"/>
      <c r="M9" s="72"/>
      <c r="N9" s="72"/>
      <c r="O9" s="72"/>
      <c r="P9" s="72"/>
      <c r="Q9" s="72"/>
      <c r="R9" s="72"/>
    </row>
    <row r="10" spans="1:18" ht="108.5" x14ac:dyDescent="0.35">
      <c r="A10" s="81" t="s">
        <v>550</v>
      </c>
      <c r="B10" s="72" t="s">
        <v>2</v>
      </c>
      <c r="C10" s="73" t="s">
        <v>410</v>
      </c>
      <c r="D10" s="72"/>
      <c r="E10" s="72" t="s">
        <v>355</v>
      </c>
      <c r="F10" s="72" t="s">
        <v>407</v>
      </c>
      <c r="G10" s="74">
        <v>20</v>
      </c>
      <c r="H10" s="72" t="s">
        <v>356</v>
      </c>
      <c r="I10" s="72" t="s">
        <v>388</v>
      </c>
      <c r="J10" s="72" t="s">
        <v>406</v>
      </c>
      <c r="K10" s="73" t="s">
        <v>408</v>
      </c>
      <c r="L10" s="72">
        <v>51</v>
      </c>
      <c r="M10" s="72"/>
      <c r="N10" s="72" t="s">
        <v>409</v>
      </c>
      <c r="O10" s="75">
        <v>43217</v>
      </c>
      <c r="P10" s="72">
        <v>25</v>
      </c>
      <c r="Q10" s="72"/>
      <c r="R10" s="72"/>
    </row>
    <row r="11" spans="1:18" ht="15.5" x14ac:dyDescent="0.35">
      <c r="A11" s="81" t="s">
        <v>551</v>
      </c>
      <c r="B11" s="72" t="s">
        <v>3</v>
      </c>
      <c r="C11" s="72"/>
      <c r="D11" s="72"/>
      <c r="E11" s="72"/>
      <c r="F11" s="72"/>
      <c r="G11" s="72"/>
      <c r="H11" s="72"/>
      <c r="I11" s="72"/>
      <c r="J11" s="72"/>
      <c r="K11" s="72"/>
      <c r="L11" s="72"/>
      <c r="M11" s="72"/>
      <c r="N11" s="72"/>
      <c r="O11" s="72"/>
      <c r="P11" s="72"/>
      <c r="Q11" s="72"/>
      <c r="R11" s="72"/>
    </row>
    <row r="12" spans="1:18" ht="15.5" x14ac:dyDescent="0.35">
      <c r="A12" s="81" t="s">
        <v>552</v>
      </c>
      <c r="B12" s="72" t="s">
        <v>3</v>
      </c>
      <c r="C12" s="72"/>
      <c r="D12" s="72"/>
      <c r="E12" s="72"/>
      <c r="F12" s="72"/>
      <c r="G12" s="72"/>
      <c r="H12" s="72"/>
      <c r="I12" s="72"/>
      <c r="J12" s="72"/>
      <c r="K12" s="72"/>
      <c r="L12" s="72"/>
      <c r="M12" s="72"/>
      <c r="N12" s="72"/>
      <c r="O12" s="72"/>
      <c r="P12" s="72"/>
      <c r="Q12" s="72"/>
      <c r="R12" s="72"/>
    </row>
    <row r="13" spans="1:18" ht="15.5" x14ac:dyDescent="0.35">
      <c r="A13" s="81" t="s">
        <v>553</v>
      </c>
      <c r="B13" s="72" t="s">
        <v>3</v>
      </c>
      <c r="C13" s="72"/>
      <c r="D13" s="72"/>
      <c r="E13" s="72"/>
      <c r="F13" s="72"/>
      <c r="G13" s="72"/>
      <c r="H13" s="72"/>
      <c r="I13" s="72"/>
      <c r="J13" s="72"/>
      <c r="K13" s="72"/>
      <c r="L13" s="72"/>
      <c r="M13" s="72"/>
      <c r="N13" s="72"/>
      <c r="O13" s="72"/>
      <c r="P13" s="72"/>
      <c r="Q13" s="72"/>
      <c r="R13" s="72"/>
    </row>
    <row r="14" spans="1:18" ht="15.5" x14ac:dyDescent="0.35">
      <c r="A14" s="81" t="s">
        <v>554</v>
      </c>
      <c r="B14" s="72" t="s">
        <v>3</v>
      </c>
      <c r="C14" s="72"/>
      <c r="D14" s="72"/>
      <c r="E14" s="72"/>
      <c r="F14" s="72"/>
      <c r="G14" s="72"/>
      <c r="H14" s="72"/>
      <c r="I14" s="72"/>
      <c r="J14" s="72"/>
      <c r="K14" s="72"/>
      <c r="L14" s="72"/>
      <c r="M14" s="72"/>
      <c r="N14" s="72"/>
      <c r="O14" s="72"/>
      <c r="P14" s="72"/>
      <c r="Q14" s="72"/>
      <c r="R14" s="72"/>
    </row>
    <row r="15" spans="1:18" ht="15.5" x14ac:dyDescent="0.35">
      <c r="A15" s="81" t="s">
        <v>555</v>
      </c>
      <c r="B15" s="72" t="s">
        <v>3</v>
      </c>
      <c r="C15" s="72"/>
      <c r="D15" s="72"/>
      <c r="E15" s="72"/>
      <c r="F15" s="72"/>
      <c r="G15" s="72"/>
      <c r="H15" s="72"/>
      <c r="I15" s="72"/>
      <c r="J15" s="72"/>
      <c r="K15" s="72"/>
      <c r="L15" s="72"/>
      <c r="M15" s="72"/>
      <c r="N15" s="72"/>
      <c r="O15" s="72"/>
      <c r="P15" s="72"/>
      <c r="Q15" s="72"/>
      <c r="R15" s="72"/>
    </row>
    <row r="16" spans="1:18" ht="15.5" x14ac:dyDescent="0.35">
      <c r="A16" s="81" t="s">
        <v>556</v>
      </c>
      <c r="B16" s="72" t="s">
        <v>3</v>
      </c>
      <c r="C16" s="72"/>
      <c r="D16" s="72"/>
      <c r="E16" s="72"/>
      <c r="F16" s="72"/>
      <c r="G16" s="72"/>
      <c r="H16" s="72"/>
      <c r="I16" s="72"/>
      <c r="J16" s="72"/>
      <c r="K16" s="72"/>
      <c r="L16" s="72"/>
      <c r="M16" s="72"/>
      <c r="N16" s="72"/>
      <c r="O16" s="72"/>
      <c r="P16" s="72"/>
      <c r="Q16" s="72"/>
      <c r="R16" s="72"/>
    </row>
    <row r="17" spans="1:18" ht="46.5" x14ac:dyDescent="0.35">
      <c r="A17" s="81" t="s">
        <v>557</v>
      </c>
      <c r="B17" s="72" t="s">
        <v>3</v>
      </c>
      <c r="C17" s="72"/>
      <c r="D17" s="72"/>
      <c r="E17" s="72" t="s">
        <v>412</v>
      </c>
      <c r="F17" s="72" t="s">
        <v>411</v>
      </c>
      <c r="G17" s="74">
        <v>10</v>
      </c>
      <c r="H17" s="72" t="s">
        <v>356</v>
      </c>
      <c r="I17" s="72" t="s">
        <v>388</v>
      </c>
      <c r="J17" s="72" t="s">
        <v>413</v>
      </c>
      <c r="K17" s="73" t="s">
        <v>414</v>
      </c>
      <c r="L17" s="72">
        <v>51</v>
      </c>
      <c r="M17" s="72"/>
      <c r="N17" s="72" t="s">
        <v>415</v>
      </c>
      <c r="O17" s="75">
        <v>43217</v>
      </c>
      <c r="P17" s="72">
        <v>25</v>
      </c>
      <c r="Q17" s="72"/>
      <c r="R17" s="72"/>
    </row>
    <row r="18" spans="1:18" ht="15.5" x14ac:dyDescent="0.35">
      <c r="A18" s="81" t="s">
        <v>558</v>
      </c>
      <c r="B18" s="72" t="s">
        <v>3</v>
      </c>
      <c r="C18" s="72"/>
      <c r="D18" s="72"/>
      <c r="E18" s="72"/>
      <c r="F18" s="72"/>
      <c r="G18" s="72"/>
      <c r="H18" s="72"/>
      <c r="I18" s="72"/>
      <c r="J18" s="72"/>
      <c r="K18" s="72"/>
      <c r="L18" s="72"/>
      <c r="M18" s="72"/>
      <c r="N18" s="72"/>
      <c r="O18" s="72"/>
      <c r="P18" s="72"/>
      <c r="Q18" s="72"/>
      <c r="R18" s="72"/>
    </row>
    <row r="19" spans="1:18" ht="15.5" x14ac:dyDescent="0.35">
      <c r="A19" s="81" t="s">
        <v>559</v>
      </c>
      <c r="B19" s="72" t="s">
        <v>3</v>
      </c>
      <c r="C19" s="72"/>
      <c r="D19" s="72"/>
      <c r="E19" s="72"/>
      <c r="F19" s="72"/>
      <c r="G19" s="72"/>
      <c r="H19" s="72"/>
      <c r="I19" s="72"/>
      <c r="J19" s="72"/>
      <c r="K19" s="72"/>
      <c r="L19" s="72"/>
      <c r="M19" s="72"/>
      <c r="N19" s="72"/>
      <c r="O19" s="72"/>
      <c r="P19" s="72"/>
      <c r="Q19" s="72"/>
      <c r="R19" s="72"/>
    </row>
    <row r="20" spans="1:18" ht="15.5" x14ac:dyDescent="0.35">
      <c r="A20" s="81" t="s">
        <v>560</v>
      </c>
      <c r="B20" s="72" t="s">
        <v>3</v>
      </c>
      <c r="C20" s="72"/>
      <c r="D20" s="72"/>
      <c r="E20" s="72"/>
      <c r="F20" s="72"/>
      <c r="G20" s="72"/>
      <c r="H20" s="72"/>
      <c r="I20" s="72"/>
      <c r="J20" s="72"/>
      <c r="K20" s="72"/>
      <c r="L20" s="72"/>
      <c r="M20" s="72"/>
      <c r="N20" s="72"/>
      <c r="O20" s="72"/>
      <c r="P20" s="72"/>
      <c r="Q20" s="72"/>
      <c r="R20" s="72"/>
    </row>
    <row r="21" spans="1:18" ht="15.5" x14ac:dyDescent="0.35">
      <c r="A21" s="81" t="s">
        <v>561</v>
      </c>
      <c r="B21" s="72" t="s">
        <v>3</v>
      </c>
      <c r="C21" s="72"/>
      <c r="D21" s="72"/>
      <c r="E21" s="72"/>
      <c r="F21" s="72"/>
      <c r="G21" s="72"/>
      <c r="H21" s="72"/>
      <c r="I21" s="72"/>
      <c r="J21" s="72"/>
      <c r="K21" s="72"/>
      <c r="L21" s="72"/>
      <c r="M21" s="72"/>
      <c r="N21" s="72"/>
      <c r="O21" s="72"/>
      <c r="P21" s="72"/>
      <c r="Q21" s="72"/>
      <c r="R21" s="72"/>
    </row>
    <row r="22" spans="1:18" ht="15.5" x14ac:dyDescent="0.35">
      <c r="A22" s="81" t="s">
        <v>562</v>
      </c>
      <c r="B22" s="72" t="s">
        <v>3</v>
      </c>
      <c r="C22" s="72"/>
      <c r="D22" s="72"/>
      <c r="E22" s="72"/>
      <c r="F22" s="72"/>
      <c r="G22" s="72"/>
      <c r="H22" s="72"/>
      <c r="I22" s="72"/>
      <c r="J22" s="72"/>
      <c r="K22" s="72"/>
      <c r="L22" s="72"/>
      <c r="M22" s="72"/>
      <c r="N22" s="72"/>
      <c r="O22" s="72"/>
      <c r="P22" s="72"/>
      <c r="Q22" s="72"/>
      <c r="R22" s="72"/>
    </row>
    <row r="23" spans="1:18" ht="15.5" x14ac:dyDescent="0.35">
      <c r="A23" s="81" t="s">
        <v>563</v>
      </c>
      <c r="B23" s="72" t="s">
        <v>3</v>
      </c>
      <c r="C23" s="72"/>
      <c r="D23" s="72"/>
      <c r="E23" s="72"/>
      <c r="F23" s="72"/>
      <c r="G23" s="72"/>
      <c r="H23" s="72"/>
      <c r="I23" s="72"/>
      <c r="J23" s="72"/>
      <c r="K23" s="72"/>
      <c r="L23" s="72"/>
      <c r="M23" s="72"/>
      <c r="N23" s="72"/>
      <c r="O23" s="72"/>
      <c r="P23" s="72"/>
      <c r="Q23" s="72"/>
      <c r="R23" s="72"/>
    </row>
    <row r="24" spans="1:18" ht="15.5" x14ac:dyDescent="0.35">
      <c r="A24" s="81" t="s">
        <v>564</v>
      </c>
      <c r="B24" s="72" t="s">
        <v>3</v>
      </c>
      <c r="C24" s="72"/>
      <c r="D24" s="72"/>
      <c r="E24" s="72"/>
      <c r="F24" s="72"/>
      <c r="G24" s="72"/>
      <c r="H24" s="72"/>
      <c r="I24" s="72"/>
      <c r="J24" s="72"/>
      <c r="K24" s="72"/>
      <c r="L24" s="72"/>
      <c r="M24" s="72"/>
      <c r="N24" s="72"/>
      <c r="O24" s="72"/>
      <c r="P24" s="72"/>
      <c r="Q24" s="72"/>
      <c r="R24" s="72"/>
    </row>
    <row r="25" spans="1:18" ht="15.5" x14ac:dyDescent="0.35">
      <c r="A25" s="81" t="s">
        <v>565</v>
      </c>
      <c r="B25" s="72" t="s">
        <v>3</v>
      </c>
      <c r="C25" s="72"/>
      <c r="D25" s="72"/>
      <c r="E25" s="72"/>
      <c r="F25" s="72"/>
      <c r="G25" s="72"/>
      <c r="H25" s="72"/>
      <c r="I25" s="72"/>
      <c r="J25" s="72"/>
      <c r="K25" s="72"/>
      <c r="L25" s="72"/>
      <c r="M25" s="72"/>
      <c r="N25" s="72"/>
      <c r="O25" s="72"/>
      <c r="P25" s="72"/>
      <c r="Q25" s="72"/>
      <c r="R25" s="72"/>
    </row>
    <row r="26" spans="1:18" ht="15.5" x14ac:dyDescent="0.35">
      <c r="A26" s="81" t="s">
        <v>566</v>
      </c>
      <c r="B26" s="72" t="s">
        <v>3</v>
      </c>
      <c r="C26" s="72"/>
      <c r="D26" s="72"/>
      <c r="E26" s="72"/>
      <c r="F26" s="72"/>
      <c r="G26" s="72"/>
      <c r="H26" s="72"/>
      <c r="I26" s="72"/>
      <c r="J26" s="72"/>
      <c r="K26" s="72"/>
      <c r="L26" s="72"/>
      <c r="M26" s="72"/>
      <c r="N26" s="72"/>
      <c r="O26" s="72"/>
      <c r="P26" s="72"/>
      <c r="Q26" s="72"/>
      <c r="R26" s="72"/>
    </row>
    <row r="27" spans="1:18" ht="15.5" x14ac:dyDescent="0.35">
      <c r="A27" s="81" t="s">
        <v>567</v>
      </c>
      <c r="B27" s="72" t="s">
        <v>3</v>
      </c>
      <c r="C27" s="72"/>
      <c r="D27" s="72"/>
      <c r="E27" s="72"/>
      <c r="F27" s="72"/>
      <c r="G27" s="72"/>
      <c r="H27" s="72"/>
      <c r="I27" s="72"/>
      <c r="J27" s="72"/>
      <c r="K27" s="72"/>
      <c r="L27" s="72"/>
      <c r="M27" s="72"/>
      <c r="N27" s="72"/>
      <c r="O27" s="72"/>
      <c r="P27" s="72"/>
      <c r="Q27" s="72"/>
      <c r="R27" s="72"/>
    </row>
    <row r="28" spans="1:18" ht="15.5" x14ac:dyDescent="0.35">
      <c r="A28" s="81" t="s">
        <v>568</v>
      </c>
      <c r="B28" s="72" t="s">
        <v>3</v>
      </c>
      <c r="C28" s="72"/>
      <c r="D28" s="72"/>
      <c r="E28" s="72"/>
      <c r="F28" s="72"/>
      <c r="G28" s="72"/>
      <c r="H28" s="72"/>
      <c r="I28" s="72"/>
      <c r="J28" s="72"/>
      <c r="K28" s="72"/>
      <c r="L28" s="72"/>
      <c r="M28" s="72"/>
      <c r="N28" s="72"/>
      <c r="O28" s="72"/>
      <c r="P28" s="72"/>
      <c r="Q28" s="72"/>
      <c r="R28" s="72"/>
    </row>
    <row r="29" spans="1:18" ht="46.5" x14ac:dyDescent="0.35">
      <c r="A29" s="81" t="s">
        <v>569</v>
      </c>
      <c r="B29" s="72" t="s">
        <v>1</v>
      </c>
      <c r="C29" s="72" t="s">
        <v>469</v>
      </c>
      <c r="D29" s="72"/>
      <c r="E29" s="72" t="s">
        <v>420</v>
      </c>
      <c r="F29" s="72" t="s">
        <v>420</v>
      </c>
      <c r="G29" s="74">
        <v>1</v>
      </c>
      <c r="H29" s="72" t="s">
        <v>356</v>
      </c>
      <c r="I29" s="73" t="s">
        <v>468</v>
      </c>
      <c r="J29" s="72" t="s">
        <v>420</v>
      </c>
      <c r="K29" s="72">
        <v>88119169</v>
      </c>
      <c r="L29" s="72">
        <v>911</v>
      </c>
      <c r="M29" s="72"/>
      <c r="N29" s="72" t="s">
        <v>420</v>
      </c>
      <c r="O29" s="75">
        <v>43244</v>
      </c>
      <c r="P29" s="72"/>
      <c r="Q29" s="84" t="s">
        <v>467</v>
      </c>
      <c r="R29" s="72"/>
    </row>
    <row r="30" spans="1:18" ht="15.5" x14ac:dyDescent="0.35">
      <c r="A30" s="81" t="s">
        <v>570</v>
      </c>
      <c r="B30" s="72" t="s">
        <v>3</v>
      </c>
      <c r="C30" s="72"/>
      <c r="D30" s="72"/>
      <c r="E30" s="72"/>
      <c r="F30" s="72"/>
      <c r="G30" s="72"/>
      <c r="H30" s="72"/>
      <c r="I30" s="72"/>
      <c r="J30" s="72"/>
      <c r="K30" s="72"/>
      <c r="L30" s="72"/>
      <c r="M30" s="72"/>
      <c r="N30" s="72"/>
      <c r="O30" s="72"/>
      <c r="P30" s="72"/>
      <c r="Q30" s="84"/>
      <c r="R30" s="72"/>
    </row>
    <row r="31" spans="1:18" ht="15.5" x14ac:dyDescent="0.35">
      <c r="A31" s="81" t="s">
        <v>571</v>
      </c>
      <c r="B31" s="72" t="s">
        <v>3</v>
      </c>
      <c r="C31" s="72"/>
      <c r="D31" s="72"/>
      <c r="E31" s="72"/>
      <c r="F31" s="72"/>
      <c r="G31" s="72"/>
      <c r="H31" s="72"/>
      <c r="I31" s="72"/>
      <c r="J31" s="72"/>
      <c r="K31" s="72"/>
      <c r="L31" s="72"/>
      <c r="M31" s="72"/>
      <c r="N31" s="72"/>
      <c r="O31" s="72"/>
      <c r="P31" s="72"/>
      <c r="Q31" s="72"/>
      <c r="R31" s="72"/>
    </row>
    <row r="32" spans="1:18" ht="15.5" x14ac:dyDescent="0.35">
      <c r="A32" s="81" t="s">
        <v>572</v>
      </c>
      <c r="B32" s="72" t="s">
        <v>3</v>
      </c>
      <c r="C32" s="72"/>
      <c r="D32" s="72"/>
      <c r="E32" s="72"/>
      <c r="F32" s="72"/>
      <c r="G32" s="72"/>
      <c r="H32" s="72"/>
      <c r="I32" s="72"/>
      <c r="J32" s="72"/>
      <c r="K32" s="72"/>
      <c r="L32" s="72"/>
      <c r="M32" s="72"/>
      <c r="N32" s="72"/>
      <c r="O32" s="72"/>
      <c r="P32" s="72"/>
      <c r="Q32" s="72"/>
      <c r="R32" s="72"/>
    </row>
    <row r="33" spans="1:18" ht="15.5" x14ac:dyDescent="0.35">
      <c r="A33" s="81" t="s">
        <v>573</v>
      </c>
      <c r="B33" s="72" t="s">
        <v>3</v>
      </c>
      <c r="C33" s="72"/>
      <c r="D33" s="72"/>
      <c r="E33" s="72"/>
      <c r="F33" s="72"/>
      <c r="G33" s="72"/>
      <c r="H33" s="72"/>
      <c r="I33" s="72"/>
      <c r="J33" s="72"/>
      <c r="K33" s="72"/>
      <c r="L33" s="72"/>
      <c r="M33" s="72"/>
      <c r="N33" s="72"/>
      <c r="O33" s="72"/>
      <c r="P33" s="72"/>
      <c r="Q33" s="72"/>
      <c r="R33" s="72"/>
    </row>
    <row r="34" spans="1:18" ht="15.5" x14ac:dyDescent="0.35">
      <c r="A34" s="81" t="s">
        <v>574</v>
      </c>
      <c r="B34" s="72" t="s">
        <v>3</v>
      </c>
      <c r="C34" s="72"/>
      <c r="D34" s="72"/>
      <c r="E34" s="72"/>
      <c r="F34" s="72"/>
      <c r="G34" s="72"/>
      <c r="H34" s="72"/>
      <c r="I34" s="72"/>
      <c r="J34" s="72"/>
      <c r="K34" s="72"/>
      <c r="L34" s="72"/>
      <c r="M34" s="72"/>
      <c r="N34" s="72"/>
      <c r="O34" s="72"/>
      <c r="P34" s="72"/>
      <c r="Q34" s="72"/>
      <c r="R34" s="72"/>
    </row>
    <row r="35" spans="1:18" ht="15.5" x14ac:dyDescent="0.35">
      <c r="A35" s="81" t="s">
        <v>575</v>
      </c>
      <c r="B35" s="72" t="s">
        <v>3</v>
      </c>
      <c r="C35" s="72"/>
      <c r="D35" s="72"/>
      <c r="E35" s="72"/>
      <c r="F35" s="72"/>
      <c r="G35" s="72"/>
      <c r="H35" s="72"/>
      <c r="I35" s="72"/>
      <c r="J35" s="72"/>
      <c r="K35" s="72"/>
      <c r="L35" s="72"/>
      <c r="M35" s="72"/>
      <c r="N35" s="72"/>
      <c r="O35" s="72"/>
      <c r="P35" s="72"/>
      <c r="Q35" s="72"/>
      <c r="R35" s="72"/>
    </row>
    <row r="36" spans="1:18" ht="15.5" x14ac:dyDescent="0.35">
      <c r="A36" s="81" t="s">
        <v>576</v>
      </c>
      <c r="B36" s="72" t="s">
        <v>3</v>
      </c>
      <c r="C36" s="72"/>
      <c r="D36" s="72"/>
      <c r="E36" s="72"/>
      <c r="F36" s="72"/>
      <c r="G36" s="72"/>
      <c r="H36" s="72"/>
      <c r="I36" s="72"/>
      <c r="J36" s="72"/>
      <c r="K36" s="72"/>
      <c r="L36" s="72"/>
      <c r="M36" s="72"/>
      <c r="N36" s="72"/>
      <c r="O36" s="72"/>
      <c r="P36" s="72"/>
      <c r="Q36" s="72"/>
      <c r="R36" s="72"/>
    </row>
    <row r="37" spans="1:18" ht="15.5" x14ac:dyDescent="0.35">
      <c r="A37" s="81" t="s">
        <v>577</v>
      </c>
      <c r="B37" s="72" t="s">
        <v>3</v>
      </c>
      <c r="C37" s="72"/>
      <c r="D37" s="72"/>
      <c r="E37" s="72"/>
      <c r="F37" s="72"/>
      <c r="G37" s="72"/>
      <c r="H37" s="72"/>
      <c r="I37" s="72"/>
      <c r="J37" s="72"/>
      <c r="K37" s="72"/>
      <c r="L37" s="72"/>
      <c r="M37" s="72"/>
      <c r="N37" s="72"/>
      <c r="O37" s="72"/>
      <c r="P37" s="72"/>
      <c r="Q37" s="72"/>
      <c r="R37" s="72"/>
    </row>
    <row r="38" spans="1:18" ht="15.5" x14ac:dyDescent="0.35">
      <c r="A38" s="81" t="s">
        <v>578</v>
      </c>
      <c r="B38" s="72" t="s">
        <v>3</v>
      </c>
      <c r="C38" s="72"/>
      <c r="D38" s="72"/>
      <c r="E38" s="72"/>
      <c r="F38" s="72"/>
      <c r="G38" s="72"/>
      <c r="H38" s="72"/>
      <c r="I38" s="72"/>
      <c r="J38" s="72"/>
      <c r="K38" s="72"/>
      <c r="L38" s="72"/>
      <c r="M38" s="72"/>
      <c r="N38" s="72"/>
      <c r="O38" s="72"/>
      <c r="P38" s="72"/>
      <c r="Q38" s="72"/>
      <c r="R38" s="72"/>
    </row>
    <row r="39" spans="1:18" ht="170.5" x14ac:dyDescent="0.35">
      <c r="A39" s="81" t="s">
        <v>579</v>
      </c>
      <c r="B39" s="72" t="s">
        <v>1</v>
      </c>
      <c r="C39" s="73" t="s">
        <v>509</v>
      </c>
      <c r="D39" s="72"/>
      <c r="E39" s="72" t="s">
        <v>412</v>
      </c>
      <c r="F39" s="72" t="s">
        <v>507</v>
      </c>
      <c r="G39" s="74">
        <v>18</v>
      </c>
      <c r="H39" s="72" t="s">
        <v>452</v>
      </c>
      <c r="I39" s="72" t="s">
        <v>508</v>
      </c>
      <c r="J39" s="72" t="s">
        <v>413</v>
      </c>
      <c r="K39" s="72">
        <v>89494889</v>
      </c>
      <c r="L39" s="72" t="s">
        <v>485</v>
      </c>
      <c r="M39" s="72" t="s">
        <v>476</v>
      </c>
      <c r="N39" s="72" t="s">
        <v>413</v>
      </c>
      <c r="O39" s="75">
        <v>43273</v>
      </c>
      <c r="P39" s="83">
        <v>21</v>
      </c>
      <c r="Q39" s="72"/>
      <c r="R39" s="72" t="s">
        <v>486</v>
      </c>
    </row>
    <row r="40" spans="1:18" ht="15.5" x14ac:dyDescent="0.35">
      <c r="A40" s="81" t="s">
        <v>580</v>
      </c>
      <c r="B40" s="72" t="s">
        <v>3</v>
      </c>
      <c r="C40" s="72"/>
      <c r="D40" s="72"/>
      <c r="E40" s="72"/>
      <c r="F40" s="72"/>
      <c r="G40" s="72"/>
      <c r="H40" s="72"/>
      <c r="I40" s="72"/>
      <c r="J40" s="72"/>
      <c r="K40" s="72"/>
      <c r="L40" s="72"/>
      <c r="M40" s="72"/>
      <c r="N40" s="72"/>
      <c r="O40" s="72"/>
      <c r="P40" s="72"/>
      <c r="Q40" s="72"/>
      <c r="R40" s="72"/>
    </row>
    <row r="41" spans="1:18" ht="15.5" x14ac:dyDescent="0.35">
      <c r="A41" s="81" t="s">
        <v>581</v>
      </c>
      <c r="B41" s="72" t="s">
        <v>3</v>
      </c>
      <c r="C41" s="72"/>
      <c r="D41" s="72"/>
      <c r="E41" s="72"/>
      <c r="F41" s="72"/>
      <c r="G41" s="72"/>
      <c r="H41" s="72"/>
      <c r="I41" s="72"/>
      <c r="J41" s="72"/>
      <c r="K41" s="72"/>
      <c r="L41" s="72"/>
      <c r="M41" s="72"/>
      <c r="N41" s="72"/>
      <c r="O41" s="72"/>
      <c r="P41" s="72"/>
      <c r="Q41" s="72"/>
      <c r="R41" s="72"/>
    </row>
    <row r="42" spans="1:18" ht="15.5" x14ac:dyDescent="0.35">
      <c r="A42" s="81" t="s">
        <v>582</v>
      </c>
      <c r="B42" s="72" t="s">
        <v>3</v>
      </c>
      <c r="C42" s="72"/>
      <c r="D42" s="72"/>
      <c r="E42" s="72"/>
      <c r="F42" s="72"/>
      <c r="G42" s="72"/>
      <c r="H42" s="72"/>
      <c r="I42" s="72"/>
      <c r="J42" s="72"/>
      <c r="K42" s="72"/>
      <c r="L42" s="72"/>
      <c r="M42" s="72"/>
      <c r="N42" s="72"/>
      <c r="O42" s="72"/>
      <c r="P42" s="72"/>
      <c r="Q42" s="72"/>
      <c r="R42" s="72"/>
    </row>
    <row r="43" spans="1:18" ht="15.5" x14ac:dyDescent="0.35">
      <c r="A43" s="81" t="s">
        <v>583</v>
      </c>
      <c r="B43" s="72" t="s">
        <v>3</v>
      </c>
      <c r="C43" s="72"/>
      <c r="D43" s="72"/>
      <c r="E43" s="72"/>
      <c r="F43" s="72"/>
      <c r="G43" s="72"/>
      <c r="H43" s="72"/>
      <c r="I43" s="72"/>
      <c r="J43" s="72"/>
      <c r="K43" s="72"/>
      <c r="L43" s="72"/>
      <c r="M43" s="72"/>
      <c r="N43" s="72"/>
      <c r="O43" s="72"/>
      <c r="P43" s="72"/>
      <c r="Q43" s="72"/>
      <c r="R43" s="72"/>
    </row>
    <row r="44" spans="1:18" ht="15.5" x14ac:dyDescent="0.35">
      <c r="A44" s="81" t="s">
        <v>584</v>
      </c>
      <c r="B44" s="72" t="s">
        <v>2</v>
      </c>
      <c r="C44" s="72" t="s">
        <v>484</v>
      </c>
      <c r="D44" s="72"/>
      <c r="E44" s="72" t="s">
        <v>481</v>
      </c>
      <c r="F44" s="72" t="s">
        <v>480</v>
      </c>
      <c r="G44" s="74">
        <v>5.0199999999999996</v>
      </c>
      <c r="H44" s="72" t="s">
        <v>482</v>
      </c>
      <c r="I44" s="72"/>
      <c r="J44" s="72" t="s">
        <v>483</v>
      </c>
      <c r="K44" s="72"/>
      <c r="L44" s="72"/>
      <c r="M44" s="72"/>
      <c r="N44" s="72"/>
      <c r="O44" s="72"/>
      <c r="P44" s="72"/>
      <c r="Q44" s="72"/>
      <c r="R44" s="72"/>
    </row>
    <row r="45" spans="1:18" ht="15.5" x14ac:dyDescent="0.35">
      <c r="A45" s="81" t="s">
        <v>585</v>
      </c>
      <c r="B45" s="72" t="s">
        <v>3</v>
      </c>
      <c r="C45" s="72"/>
      <c r="D45" s="72"/>
      <c r="E45" s="72"/>
      <c r="F45" s="72"/>
      <c r="G45" s="72"/>
      <c r="H45" s="72"/>
      <c r="I45" s="72"/>
      <c r="J45" s="72"/>
      <c r="K45" s="72"/>
      <c r="L45" s="72"/>
      <c r="M45" s="72"/>
      <c r="N45" s="72"/>
      <c r="O45" s="72"/>
      <c r="P45" s="72"/>
      <c r="Q45" s="72"/>
      <c r="R45" s="72"/>
    </row>
    <row r="46" spans="1:18" ht="15.5" x14ac:dyDescent="0.35">
      <c r="A46" s="81" t="s">
        <v>586</v>
      </c>
      <c r="B46" s="72" t="s">
        <v>3</v>
      </c>
      <c r="C46" s="72"/>
      <c r="D46" s="72"/>
      <c r="E46" s="72"/>
      <c r="F46" s="72"/>
      <c r="G46" s="72"/>
      <c r="H46" s="72"/>
      <c r="I46" s="72"/>
      <c r="J46" s="72"/>
      <c r="K46" s="72"/>
      <c r="L46" s="72"/>
      <c r="M46" s="72"/>
      <c r="N46" s="72"/>
      <c r="O46" s="72"/>
      <c r="P46" s="72"/>
      <c r="Q46" s="72"/>
      <c r="R46" s="72"/>
    </row>
    <row r="47" spans="1:18" ht="15.5" x14ac:dyDescent="0.35">
      <c r="A47" s="81" t="s">
        <v>587</v>
      </c>
      <c r="B47" s="72" t="s">
        <v>3</v>
      </c>
      <c r="C47" s="72"/>
      <c r="D47" s="72"/>
      <c r="E47" s="72"/>
      <c r="F47" s="72"/>
      <c r="G47" s="72"/>
      <c r="H47" s="72"/>
      <c r="I47" s="72"/>
      <c r="J47" s="72"/>
      <c r="K47" s="72"/>
      <c r="L47" s="72"/>
      <c r="M47" s="72"/>
      <c r="N47" s="72"/>
      <c r="O47" s="72"/>
      <c r="P47" s="72"/>
      <c r="Q47" s="72"/>
      <c r="R47" s="72"/>
    </row>
    <row r="48" spans="1:18" ht="15.5" x14ac:dyDescent="0.35">
      <c r="A48" s="81" t="s">
        <v>588</v>
      </c>
      <c r="B48" s="72" t="s">
        <v>3</v>
      </c>
      <c r="C48" s="72"/>
      <c r="D48" s="72"/>
      <c r="E48" s="72"/>
      <c r="F48" s="72"/>
      <c r="G48" s="72"/>
      <c r="H48" s="72"/>
      <c r="I48" s="72"/>
      <c r="J48" s="72"/>
      <c r="K48" s="72"/>
      <c r="L48" s="72"/>
      <c r="M48" s="72"/>
      <c r="N48" s="72"/>
      <c r="O48" s="72"/>
      <c r="P48" s="72"/>
      <c r="Q48" s="72"/>
      <c r="R48" s="72"/>
    </row>
    <row r="49" spans="1:18" ht="15.5" x14ac:dyDescent="0.35">
      <c r="A49" s="81" t="s">
        <v>589</v>
      </c>
      <c r="B49" s="72" t="s">
        <v>3</v>
      </c>
      <c r="C49" s="72"/>
      <c r="D49" s="72"/>
      <c r="E49" s="72"/>
      <c r="F49" s="72"/>
      <c r="G49" s="72"/>
      <c r="H49" s="72"/>
      <c r="I49" s="72"/>
      <c r="J49" s="72"/>
      <c r="K49" s="72"/>
      <c r="L49" s="72"/>
      <c r="M49" s="72"/>
      <c r="N49" s="72"/>
      <c r="O49" s="72"/>
      <c r="P49" s="72"/>
      <c r="Q49" s="72"/>
      <c r="R49" s="72"/>
    </row>
    <row r="50" spans="1:18" ht="15.5" x14ac:dyDescent="0.35">
      <c r="A50" s="81" t="s">
        <v>590</v>
      </c>
      <c r="B50" s="72" t="s">
        <v>3</v>
      </c>
      <c r="C50" s="72"/>
      <c r="D50" s="72"/>
      <c r="E50" s="72"/>
      <c r="F50" s="72"/>
      <c r="G50" s="72"/>
      <c r="H50" s="72"/>
      <c r="I50" s="72"/>
      <c r="J50" s="72"/>
      <c r="K50" s="72"/>
      <c r="L50" s="72"/>
      <c r="M50" s="72"/>
      <c r="N50" s="72"/>
      <c r="O50" s="72"/>
      <c r="P50" s="72"/>
      <c r="Q50" s="72"/>
      <c r="R50" s="72"/>
    </row>
    <row r="51" spans="1:18" ht="15.5" x14ac:dyDescent="0.35">
      <c r="A51" s="81" t="s">
        <v>591</v>
      </c>
      <c r="B51" s="72" t="s">
        <v>3</v>
      </c>
      <c r="C51" s="72"/>
      <c r="D51" s="72"/>
      <c r="E51" s="72"/>
      <c r="F51" s="72"/>
      <c r="G51" s="72"/>
      <c r="H51" s="72"/>
      <c r="I51" s="72"/>
      <c r="J51" s="72"/>
      <c r="K51" s="72"/>
      <c r="L51" s="72"/>
      <c r="M51" s="72"/>
      <c r="N51" s="72"/>
      <c r="O51" s="72"/>
      <c r="P51" s="72"/>
      <c r="Q51" s="72"/>
      <c r="R51" s="72"/>
    </row>
    <row r="52" spans="1:18" ht="15.5" x14ac:dyDescent="0.35">
      <c r="A52" s="81" t="s">
        <v>592</v>
      </c>
      <c r="B52" s="72" t="s">
        <v>3</v>
      </c>
      <c r="C52" s="72"/>
      <c r="D52" s="72"/>
      <c r="E52" s="72"/>
      <c r="F52" s="72"/>
      <c r="G52" s="72"/>
      <c r="H52" s="72"/>
      <c r="I52" s="72"/>
      <c r="J52" s="72"/>
      <c r="K52" s="72"/>
      <c r="L52" s="72"/>
      <c r="M52" s="72"/>
      <c r="N52" s="72"/>
      <c r="O52" s="72"/>
      <c r="P52" s="72"/>
      <c r="Q52" s="72"/>
      <c r="R52" s="72"/>
    </row>
    <row r="53" spans="1:18" ht="15.5" x14ac:dyDescent="0.35">
      <c r="A53" s="81" t="s">
        <v>593</v>
      </c>
      <c r="B53" s="72" t="s">
        <v>3</v>
      </c>
      <c r="C53" s="72"/>
      <c r="D53" s="72"/>
      <c r="E53" s="72"/>
      <c r="F53" s="72"/>
      <c r="G53" s="72"/>
      <c r="H53" s="72"/>
      <c r="I53" s="72"/>
      <c r="J53" s="72"/>
      <c r="K53" s="72"/>
      <c r="L53" s="72"/>
      <c r="M53" s="72"/>
      <c r="N53" s="72"/>
      <c r="O53" s="72"/>
      <c r="P53" s="72"/>
      <c r="Q53" s="72"/>
      <c r="R53" s="72"/>
    </row>
    <row r="54" spans="1:18" ht="15.5" x14ac:dyDescent="0.35">
      <c r="A54" s="81" t="s">
        <v>594</v>
      </c>
      <c r="B54" s="72" t="s">
        <v>3</v>
      </c>
      <c r="C54" s="73"/>
      <c r="D54" s="72"/>
      <c r="E54" s="72"/>
      <c r="F54" s="72"/>
      <c r="G54" s="74"/>
      <c r="H54" s="72"/>
      <c r="I54" s="72"/>
      <c r="J54" s="72"/>
      <c r="K54" s="72"/>
      <c r="L54" s="72"/>
      <c r="M54" s="72"/>
      <c r="N54" s="72"/>
      <c r="O54" s="72"/>
      <c r="P54" s="72"/>
      <c r="Q54" s="72"/>
      <c r="R54" s="72"/>
    </row>
    <row r="55" spans="1:18" ht="15.5" x14ac:dyDescent="0.35">
      <c r="A55" s="81" t="s">
        <v>595</v>
      </c>
      <c r="B55" s="72" t="s">
        <v>3</v>
      </c>
      <c r="C55" s="72"/>
      <c r="D55" s="72"/>
      <c r="E55" s="72"/>
      <c r="F55" s="72"/>
      <c r="G55" s="72"/>
      <c r="H55" s="72"/>
      <c r="I55" s="72"/>
      <c r="J55" s="72"/>
      <c r="K55" s="72"/>
      <c r="L55" s="72"/>
      <c r="M55" s="72"/>
      <c r="N55" s="72"/>
      <c r="O55" s="72"/>
      <c r="P55" s="72"/>
      <c r="Q55" s="72"/>
      <c r="R55" s="72"/>
    </row>
    <row r="56" spans="1:18" ht="15.5" x14ac:dyDescent="0.35">
      <c r="A56" s="81" t="s">
        <v>596</v>
      </c>
      <c r="B56" s="72" t="s">
        <v>3</v>
      </c>
      <c r="C56" s="72"/>
      <c r="D56" s="72"/>
      <c r="E56" s="72"/>
      <c r="F56" s="72"/>
      <c r="G56" s="72"/>
      <c r="H56" s="72"/>
      <c r="I56" s="72"/>
      <c r="J56" s="72"/>
      <c r="K56" s="72"/>
      <c r="L56" s="72"/>
      <c r="M56" s="72"/>
      <c r="N56" s="72"/>
      <c r="O56" s="72"/>
      <c r="P56" s="72"/>
      <c r="Q56" s="72"/>
      <c r="R56" s="72"/>
    </row>
    <row r="57" spans="1:18" ht="15.5" x14ac:dyDescent="0.35">
      <c r="A57" s="81" t="s">
        <v>597</v>
      </c>
      <c r="B57" s="72" t="s">
        <v>3</v>
      </c>
      <c r="C57" s="72"/>
      <c r="D57" s="72"/>
      <c r="E57" s="72"/>
      <c r="F57" s="72"/>
      <c r="G57" s="72"/>
      <c r="H57" s="72"/>
      <c r="I57" s="72"/>
      <c r="J57" s="72"/>
      <c r="K57" s="72"/>
      <c r="L57" s="72"/>
      <c r="M57" s="72"/>
      <c r="N57" s="72"/>
      <c r="O57" s="72"/>
      <c r="P57" s="72"/>
      <c r="Q57" s="72"/>
      <c r="R57" s="72"/>
    </row>
    <row r="58" spans="1:18" ht="15.5" x14ac:dyDescent="0.35">
      <c r="A58" s="81" t="s">
        <v>598</v>
      </c>
      <c r="B58" s="72" t="s">
        <v>3</v>
      </c>
      <c r="C58" s="72"/>
      <c r="D58" s="72"/>
      <c r="E58" s="72"/>
      <c r="F58" s="72"/>
      <c r="G58" s="72"/>
      <c r="H58" s="72"/>
      <c r="I58" s="72"/>
      <c r="J58" s="72"/>
      <c r="K58" s="72"/>
      <c r="L58" s="72"/>
      <c r="M58" s="72"/>
      <c r="N58" s="72"/>
      <c r="O58" s="72"/>
      <c r="P58" s="72"/>
      <c r="Q58" s="72"/>
      <c r="R58" s="72"/>
    </row>
    <row r="59" spans="1:18" ht="15.5" x14ac:dyDescent="0.35">
      <c r="A59" s="81" t="s">
        <v>599</v>
      </c>
      <c r="B59" s="72" t="s">
        <v>3</v>
      </c>
      <c r="C59" s="72"/>
      <c r="D59" s="72"/>
      <c r="E59" s="72"/>
      <c r="F59" s="72"/>
      <c r="G59" s="72"/>
      <c r="H59" s="72"/>
      <c r="I59" s="72"/>
      <c r="J59" s="72"/>
      <c r="K59" s="72"/>
      <c r="L59" s="72"/>
      <c r="M59" s="72"/>
      <c r="N59" s="72"/>
      <c r="O59" s="72"/>
      <c r="P59" s="72"/>
      <c r="Q59" s="72"/>
      <c r="R59" s="72"/>
    </row>
    <row r="60" spans="1:18" ht="15.5" x14ac:dyDescent="0.35">
      <c r="A60" s="81" t="s">
        <v>600</v>
      </c>
      <c r="B60" s="72" t="s">
        <v>3</v>
      </c>
      <c r="C60" s="72"/>
      <c r="D60" s="72"/>
      <c r="E60" s="72"/>
      <c r="F60" s="72"/>
      <c r="G60" s="72"/>
      <c r="H60" s="72"/>
      <c r="I60" s="72"/>
      <c r="J60" s="72"/>
      <c r="K60" s="72"/>
      <c r="L60" s="72"/>
      <c r="M60" s="72"/>
      <c r="N60" s="72"/>
      <c r="O60" s="72"/>
      <c r="P60" s="72"/>
      <c r="Q60" s="72"/>
      <c r="R60" s="72"/>
    </row>
    <row r="61" spans="1:18" ht="15.5" x14ac:dyDescent="0.35">
      <c r="A61" s="81" t="s">
        <v>601</v>
      </c>
      <c r="B61" s="72" t="s">
        <v>3</v>
      </c>
      <c r="C61" s="72"/>
      <c r="D61" s="72"/>
      <c r="E61" s="72"/>
      <c r="F61" s="72"/>
      <c r="G61" s="72"/>
      <c r="H61" s="72"/>
      <c r="I61" s="72"/>
      <c r="J61" s="72"/>
      <c r="K61" s="72"/>
      <c r="L61" s="72"/>
      <c r="M61" s="72"/>
      <c r="N61" s="72"/>
      <c r="O61" s="72"/>
      <c r="P61" s="72"/>
      <c r="Q61" s="72"/>
      <c r="R61" s="72"/>
    </row>
    <row r="62" spans="1:18" ht="15.5" x14ac:dyDescent="0.35">
      <c r="A62" s="81" t="s">
        <v>602</v>
      </c>
      <c r="B62" s="72" t="s">
        <v>3</v>
      </c>
      <c r="C62" s="72"/>
      <c r="D62" s="72"/>
      <c r="E62" s="72"/>
      <c r="F62" s="72"/>
      <c r="G62" s="72"/>
      <c r="H62" s="72"/>
      <c r="I62" s="72"/>
      <c r="J62" s="72"/>
      <c r="K62" s="72"/>
      <c r="L62" s="72"/>
      <c r="M62" s="72"/>
      <c r="N62" s="72"/>
      <c r="O62" s="72"/>
      <c r="P62" s="72"/>
      <c r="Q62" s="72"/>
      <c r="R62" s="72"/>
    </row>
    <row r="63" spans="1:18" ht="15.5" x14ac:dyDescent="0.35">
      <c r="A63" s="81" t="s">
        <v>603</v>
      </c>
      <c r="B63" s="72" t="s">
        <v>3</v>
      </c>
      <c r="C63" s="72"/>
      <c r="D63" s="72"/>
      <c r="E63" s="72"/>
      <c r="F63" s="72"/>
      <c r="G63" s="72"/>
      <c r="H63" s="72"/>
      <c r="I63" s="72"/>
      <c r="J63" s="72"/>
      <c r="K63" s="72"/>
      <c r="L63" s="72"/>
      <c r="M63" s="72"/>
      <c r="N63" s="72"/>
      <c r="O63" s="72"/>
      <c r="P63" s="72"/>
      <c r="Q63" s="72"/>
      <c r="R63" s="72"/>
    </row>
    <row r="64" spans="1:18" ht="77.5" x14ac:dyDescent="0.35">
      <c r="A64" s="81" t="s">
        <v>604</v>
      </c>
      <c r="B64" s="72" t="s">
        <v>2</v>
      </c>
      <c r="C64" s="73" t="s">
        <v>506</v>
      </c>
      <c r="D64" s="72"/>
      <c r="E64" s="72" t="s">
        <v>487</v>
      </c>
      <c r="F64" s="72" t="s">
        <v>505</v>
      </c>
      <c r="G64" s="74">
        <v>18</v>
      </c>
      <c r="H64" s="72" t="s">
        <v>356</v>
      </c>
      <c r="I64" s="72"/>
      <c r="J64" s="72"/>
      <c r="K64" s="72">
        <v>89495947</v>
      </c>
      <c r="L64" s="72" t="s">
        <v>488</v>
      </c>
      <c r="M64" s="72" t="s">
        <v>476</v>
      </c>
      <c r="N64" s="72" t="s">
        <v>413</v>
      </c>
      <c r="O64" s="72"/>
      <c r="P64" s="83">
        <v>25</v>
      </c>
      <c r="Q64" s="72" t="s">
        <v>489</v>
      </c>
      <c r="R64" s="72"/>
    </row>
    <row r="65" spans="1:18" ht="15.5" x14ac:dyDescent="0.35">
      <c r="A65" s="81" t="s">
        <v>605</v>
      </c>
      <c r="B65" s="72" t="s">
        <v>3</v>
      </c>
      <c r="C65" s="72"/>
      <c r="D65" s="72"/>
      <c r="E65" s="72"/>
      <c r="F65" s="72"/>
      <c r="G65" s="72"/>
      <c r="H65" s="72"/>
      <c r="I65" s="72"/>
      <c r="J65" s="72"/>
      <c r="K65" s="72"/>
      <c r="L65" s="72"/>
      <c r="M65" s="72"/>
      <c r="N65" s="72"/>
      <c r="O65" s="72"/>
      <c r="P65" s="72"/>
      <c r="Q65" s="72"/>
      <c r="R65" s="72"/>
    </row>
    <row r="66" spans="1:18" ht="15.5" x14ac:dyDescent="0.35">
      <c r="A66" s="81" t="s">
        <v>606</v>
      </c>
      <c r="B66" s="72" t="s">
        <v>3</v>
      </c>
      <c r="C66" s="72"/>
      <c r="D66" s="72"/>
      <c r="E66" s="72"/>
      <c r="F66" s="72"/>
      <c r="G66" s="72"/>
      <c r="H66" s="72"/>
      <c r="I66" s="72"/>
      <c r="J66" s="72"/>
      <c r="K66" s="72"/>
      <c r="L66" s="72"/>
      <c r="M66" s="72"/>
      <c r="N66" s="72"/>
      <c r="O66" s="72"/>
      <c r="P66" s="72"/>
      <c r="Q66" s="72"/>
      <c r="R66" s="72"/>
    </row>
    <row r="67" spans="1:18" ht="15.5" x14ac:dyDescent="0.35">
      <c r="A67" s="81" t="s">
        <v>607</v>
      </c>
      <c r="B67" s="72" t="s">
        <v>3</v>
      </c>
      <c r="C67" s="72"/>
      <c r="D67" s="72"/>
      <c r="E67" s="72"/>
      <c r="F67" s="72"/>
      <c r="G67" s="72"/>
      <c r="H67" s="72"/>
      <c r="I67" s="72"/>
      <c r="J67" s="72"/>
      <c r="K67" s="72"/>
      <c r="L67" s="72"/>
      <c r="M67" s="72"/>
      <c r="N67" s="72"/>
      <c r="O67" s="72"/>
      <c r="P67" s="72"/>
      <c r="Q67" s="72"/>
      <c r="R67" s="72"/>
    </row>
    <row r="68" spans="1:18" ht="46.5" x14ac:dyDescent="0.35">
      <c r="A68" s="81" t="s">
        <v>608</v>
      </c>
      <c r="B68" s="72" t="s">
        <v>1</v>
      </c>
      <c r="C68" s="73" t="s">
        <v>501</v>
      </c>
      <c r="D68" s="72"/>
      <c r="E68" s="72" t="s">
        <v>355</v>
      </c>
      <c r="F68" s="72" t="s">
        <v>502</v>
      </c>
      <c r="G68" s="74">
        <v>18</v>
      </c>
      <c r="H68" s="72" t="s">
        <v>452</v>
      </c>
      <c r="I68" s="72"/>
      <c r="J68" s="72" t="s">
        <v>503</v>
      </c>
      <c r="K68" s="72">
        <v>89494893</v>
      </c>
      <c r="L68" s="72" t="s">
        <v>504</v>
      </c>
      <c r="M68" s="72" t="s">
        <v>476</v>
      </c>
      <c r="N68" s="72" t="s">
        <v>483</v>
      </c>
      <c r="O68" s="72"/>
      <c r="P68" s="72">
        <v>25</v>
      </c>
      <c r="Q68" s="72"/>
      <c r="R68" s="72"/>
    </row>
    <row r="69" spans="1:18" ht="15.5" x14ac:dyDescent="0.35">
      <c r="A69" s="81" t="s">
        <v>609</v>
      </c>
      <c r="B69" s="72" t="s">
        <v>3</v>
      </c>
      <c r="C69" s="72"/>
      <c r="D69" s="72"/>
      <c r="E69" s="72"/>
      <c r="F69" s="72"/>
      <c r="G69" s="72"/>
      <c r="H69" s="72"/>
      <c r="I69" s="72"/>
      <c r="J69" s="72"/>
      <c r="K69" s="72"/>
      <c r="L69" s="72"/>
      <c r="M69" s="72"/>
      <c r="N69" s="72"/>
      <c r="O69" s="72"/>
      <c r="P69" s="72"/>
      <c r="Q69" s="72"/>
      <c r="R69" s="72"/>
    </row>
    <row r="70" spans="1:18" ht="15.5" x14ac:dyDescent="0.35">
      <c r="A70" s="81" t="s">
        <v>610</v>
      </c>
      <c r="B70" s="72" t="s">
        <v>3</v>
      </c>
      <c r="C70" s="72"/>
      <c r="D70" s="72"/>
      <c r="E70" s="72"/>
      <c r="F70" s="72"/>
      <c r="G70" s="72"/>
      <c r="H70" s="72"/>
      <c r="I70" s="72"/>
      <c r="J70" s="72"/>
      <c r="K70" s="72"/>
      <c r="L70" s="72"/>
      <c r="M70" s="72"/>
      <c r="N70" s="72"/>
      <c r="O70" s="72"/>
      <c r="P70" s="72"/>
      <c r="Q70" s="72"/>
      <c r="R70" s="72"/>
    </row>
    <row r="71" spans="1:18" ht="46.5" x14ac:dyDescent="0.35">
      <c r="A71" s="81" t="s">
        <v>611</v>
      </c>
      <c r="B71" s="72" t="s">
        <v>2</v>
      </c>
      <c r="C71" s="73" t="s">
        <v>492</v>
      </c>
      <c r="D71" s="72"/>
      <c r="E71" s="72" t="s">
        <v>412</v>
      </c>
      <c r="F71" s="72" t="s">
        <v>490</v>
      </c>
      <c r="G71" s="74">
        <v>5.0199999999999996</v>
      </c>
      <c r="H71" s="72" t="s">
        <v>356</v>
      </c>
      <c r="I71" s="72"/>
      <c r="J71" s="72" t="s">
        <v>491</v>
      </c>
      <c r="K71" s="72">
        <v>88476091</v>
      </c>
      <c r="L71" s="72">
        <v>71</v>
      </c>
      <c r="M71" s="85" t="s">
        <v>476</v>
      </c>
      <c r="N71" s="85" t="s">
        <v>441</v>
      </c>
      <c r="O71" s="72">
        <v>174007</v>
      </c>
      <c r="P71" s="83">
        <v>21</v>
      </c>
      <c r="Q71" s="72"/>
      <c r="R71" s="72"/>
    </row>
    <row r="72" spans="1:18" ht="15.5" x14ac:dyDescent="0.35">
      <c r="A72" s="81" t="s">
        <v>612</v>
      </c>
      <c r="B72" s="72" t="s">
        <v>3</v>
      </c>
      <c r="C72" s="72"/>
      <c r="D72" s="72"/>
      <c r="E72" s="72"/>
      <c r="F72" s="72"/>
      <c r="G72" s="72"/>
      <c r="H72" s="72"/>
      <c r="I72" s="72"/>
      <c r="J72" s="72"/>
      <c r="K72" s="72"/>
      <c r="L72" s="72"/>
      <c r="M72" s="72"/>
      <c r="N72" s="72"/>
      <c r="O72" s="72"/>
      <c r="P72" s="72"/>
      <c r="Q72" s="72"/>
      <c r="R72" s="72"/>
    </row>
    <row r="73" spans="1:18" ht="15.5" x14ac:dyDescent="0.35">
      <c r="A73" s="81" t="s">
        <v>613</v>
      </c>
      <c r="B73" s="72" t="s">
        <v>3</v>
      </c>
      <c r="C73" s="72"/>
      <c r="D73" s="72"/>
      <c r="E73" s="72"/>
      <c r="F73" s="72"/>
      <c r="G73" s="72"/>
      <c r="H73" s="72"/>
      <c r="I73" s="72"/>
      <c r="J73" s="72"/>
      <c r="K73" s="72"/>
      <c r="L73" s="72"/>
      <c r="M73" s="72"/>
      <c r="N73" s="72"/>
      <c r="O73" s="72"/>
      <c r="P73" s="72"/>
      <c r="Q73" s="72"/>
      <c r="R73" s="72"/>
    </row>
    <row r="74" spans="1:18" ht="15.5" x14ac:dyDescent="0.35">
      <c r="A74" s="81" t="s">
        <v>614</v>
      </c>
      <c r="B74" s="72" t="s">
        <v>3</v>
      </c>
      <c r="C74" s="72"/>
      <c r="D74" s="72"/>
      <c r="E74" s="72"/>
      <c r="F74" s="72"/>
      <c r="G74" s="72"/>
      <c r="H74" s="72"/>
      <c r="I74" s="72"/>
      <c r="J74" s="72"/>
      <c r="K74" s="72"/>
      <c r="L74" s="72"/>
      <c r="M74" s="72"/>
      <c r="N74" s="72"/>
      <c r="O74" s="72"/>
      <c r="P74" s="72"/>
      <c r="Q74" s="72"/>
      <c r="R74" s="72"/>
    </row>
    <row r="75" spans="1:18" ht="15.5" x14ac:dyDescent="0.35">
      <c r="A75" s="81" t="s">
        <v>615</v>
      </c>
      <c r="B75" s="72" t="s">
        <v>3</v>
      </c>
      <c r="C75" s="72"/>
      <c r="D75" s="72"/>
      <c r="E75" s="72"/>
      <c r="F75" s="72"/>
      <c r="G75" s="72"/>
      <c r="H75" s="72"/>
      <c r="I75" s="72"/>
      <c r="J75" s="72"/>
      <c r="K75" s="72"/>
      <c r="L75" s="72"/>
      <c r="M75" s="72"/>
      <c r="N75" s="72"/>
      <c r="O75" s="72"/>
      <c r="P75" s="72"/>
      <c r="Q75" s="72"/>
      <c r="R75" s="72"/>
    </row>
    <row r="76" spans="1:18" ht="15.5" x14ac:dyDescent="0.35">
      <c r="A76" s="81" t="s">
        <v>616</v>
      </c>
      <c r="B76" s="72" t="s">
        <v>3</v>
      </c>
      <c r="C76" s="72"/>
      <c r="D76" s="72"/>
      <c r="E76" s="72"/>
      <c r="F76" s="72"/>
      <c r="G76" s="72"/>
      <c r="H76" s="72"/>
      <c r="I76" s="72"/>
      <c r="J76" s="72"/>
      <c r="K76" s="72"/>
      <c r="L76" s="72"/>
      <c r="M76" s="72"/>
      <c r="N76" s="72"/>
      <c r="O76" s="72"/>
      <c r="P76" s="72"/>
      <c r="Q76" s="72"/>
      <c r="R76" s="72"/>
    </row>
    <row r="77" spans="1:18" ht="15.5" x14ac:dyDescent="0.35">
      <c r="A77" s="81" t="s">
        <v>617</v>
      </c>
      <c r="B77" s="72" t="s">
        <v>3</v>
      </c>
      <c r="C77" s="72"/>
      <c r="D77" s="72"/>
      <c r="E77" s="72"/>
      <c r="F77" s="72"/>
      <c r="G77" s="72"/>
      <c r="H77" s="72"/>
      <c r="I77" s="72"/>
      <c r="J77" s="72"/>
      <c r="K77" s="72"/>
      <c r="L77" s="72"/>
      <c r="M77" s="72"/>
      <c r="N77" s="72"/>
      <c r="O77" s="72"/>
      <c r="P77" s="72"/>
      <c r="Q77" s="72"/>
      <c r="R77" s="72"/>
    </row>
    <row r="78" spans="1:18" ht="108.5" x14ac:dyDescent="0.35">
      <c r="A78" s="81" t="s">
        <v>618</v>
      </c>
      <c r="B78" s="72" t="s">
        <v>2</v>
      </c>
      <c r="C78" s="73" t="s">
        <v>471</v>
      </c>
      <c r="D78" s="72"/>
      <c r="E78" s="72"/>
      <c r="F78" s="72" t="s">
        <v>470</v>
      </c>
      <c r="G78" s="72"/>
      <c r="H78" s="72"/>
      <c r="I78" s="72"/>
      <c r="J78" s="72"/>
      <c r="K78" s="72"/>
      <c r="L78" s="72"/>
      <c r="M78" s="72"/>
      <c r="N78" s="72"/>
      <c r="O78" s="72"/>
      <c r="P78" s="72"/>
      <c r="Q78" s="72"/>
      <c r="R78" s="72"/>
    </row>
    <row r="79" spans="1:18" ht="15.5" x14ac:dyDescent="0.35">
      <c r="A79" s="81" t="s">
        <v>619</v>
      </c>
      <c r="B79" s="72" t="s">
        <v>3</v>
      </c>
      <c r="C79" s="72"/>
      <c r="D79" s="72"/>
      <c r="E79" s="72"/>
      <c r="F79" s="72"/>
      <c r="G79" s="72"/>
      <c r="H79" s="72"/>
      <c r="I79" s="72"/>
      <c r="J79" s="72"/>
      <c r="K79" s="72"/>
      <c r="L79" s="72"/>
      <c r="M79" s="72"/>
      <c r="N79" s="72"/>
      <c r="O79" s="72"/>
      <c r="P79" s="72"/>
      <c r="Q79" s="72"/>
      <c r="R79" s="72"/>
    </row>
  </sheetData>
  <dataValidations count="1">
    <dataValidation type="list" allowBlank="1" showInputMessage="1" showErrorMessage="1" sqref="B2:B79" xr:uid="{00000000-0002-0000-0B00-000000000000}">
      <formula1>#REF!</formula1>
    </dataValidation>
  </dataValidations>
  <pageMargins left="0.7" right="0.7" top="0.75" bottom="0.75" header="0.3" footer="0.3"/>
  <pageSetup orientation="portrait" horizontalDpi="300" verticalDpi="300" r:id="rId1"/>
  <tableParts count="1">
    <tablePart r:id="rId2"/>
  </tableParts>
  <extLst>
    <ext xmlns:x14="http://schemas.microsoft.com/office/spreadsheetml/2009/9/main" uri="{78C0D931-6437-407d-A8EE-F0AAD7539E65}">
      <x14:conditionalFormattings>
        <x14:conditionalFormatting xmlns:xm="http://schemas.microsoft.com/office/excel/2006/main">
          <x14:cfRule type="containsText" priority="4" operator="containsText" id="{9BB926D7-B9F1-4D75-B840-212398D978BD}">
            <xm:f>NOT(ISERROR(SEARCH(#REF!,B2)))</xm:f>
            <xm:f>#REF!</xm:f>
            <x14:dxf>
              <font>
                <b val="0"/>
                <i val="0"/>
                <color theme="9" tint="-0.499984740745262"/>
              </font>
              <fill>
                <patternFill>
                  <bgColor theme="9" tint="0.59996337778862885"/>
                </patternFill>
              </fill>
            </x14:dxf>
          </x14:cfRule>
          <x14:cfRule type="containsText" priority="5" operator="containsText" id="{E5A4577F-0976-4D5E-BAEA-A6571030AAFB}">
            <xm:f>NOT(ISERROR(SEARCH(#REF!,B2)))</xm:f>
            <xm:f>#REF!</xm:f>
            <x14:dxf>
              <font>
                <b val="0"/>
                <i val="0"/>
                <color rgb="FFC00000"/>
              </font>
              <fill>
                <patternFill>
                  <bgColor rgb="FFFFCCCC"/>
                </patternFill>
              </fill>
            </x14:dxf>
          </x14:cfRule>
          <x14:cfRule type="containsText" priority="6" operator="containsText" id="{914AE18D-D252-4B0C-8375-A72262489138}">
            <xm:f>NOT(ISERROR(SEARCH(#REF!,B2)))</xm:f>
            <xm:f>#REF!</xm:f>
            <x14:dxf>
              <font>
                <b val="0"/>
                <i val="0"/>
                <color theme="7" tint="-0.499984740745262"/>
              </font>
              <fill>
                <patternFill>
                  <bgColor theme="7" tint="0.59996337778862885"/>
                </patternFill>
              </fill>
            </x14:dxf>
          </x14:cfRule>
          <xm:sqref>B2:B79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1000000}">
          <x14:formula1>
            <xm:f>Overview!$C$9:$C$12</xm:f>
          </x14:formula1>
          <xm:sqref>D2:D79</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O11"/>
  <sheetViews>
    <sheetView workbookViewId="0">
      <selection sqref="A1:C4"/>
    </sheetView>
  </sheetViews>
  <sheetFormatPr defaultRowHeight="14.5" x14ac:dyDescent="0.35"/>
  <cols>
    <col min="1" max="1" width="16.08984375" customWidth="1"/>
    <col min="3" max="3" width="55.6328125" customWidth="1"/>
    <col min="4" max="4" width="12.90625" bestFit="1" customWidth="1"/>
    <col min="14" max="14" width="17.1796875" customWidth="1"/>
  </cols>
  <sheetData>
    <row r="1" spans="1:15" x14ac:dyDescent="0.35">
      <c r="A1" s="4" t="s">
        <v>0</v>
      </c>
      <c r="B1" s="4" t="s">
        <v>5</v>
      </c>
      <c r="C1" s="4" t="s">
        <v>75</v>
      </c>
      <c r="D1" s="4" t="s">
        <v>315</v>
      </c>
      <c r="E1" s="63" t="s">
        <v>359</v>
      </c>
      <c r="F1" s="63" t="s">
        <v>360</v>
      </c>
      <c r="G1" s="63" t="s">
        <v>361</v>
      </c>
      <c r="H1" s="63" t="s">
        <v>362</v>
      </c>
      <c r="I1" s="63" t="s">
        <v>363</v>
      </c>
      <c r="J1" s="63" t="s">
        <v>364</v>
      </c>
      <c r="K1" s="63" t="s">
        <v>365</v>
      </c>
      <c r="L1" s="63" t="s">
        <v>366</v>
      </c>
      <c r="M1" s="63" t="s">
        <v>367</v>
      </c>
      <c r="N1" s="63" t="s">
        <v>376</v>
      </c>
      <c r="O1" s="64" t="s">
        <v>374</v>
      </c>
    </row>
    <row r="2" spans="1:15" x14ac:dyDescent="0.35">
      <c r="A2" t="s">
        <v>423</v>
      </c>
      <c r="B2" t="s">
        <v>3</v>
      </c>
    </row>
    <row r="3" spans="1:15" x14ac:dyDescent="0.35">
      <c r="A3" t="s">
        <v>424</v>
      </c>
      <c r="B3" t="s">
        <v>3</v>
      </c>
    </row>
    <row r="4" spans="1:15" x14ac:dyDescent="0.35">
      <c r="A4" t="s">
        <v>425</v>
      </c>
      <c r="B4" t="s">
        <v>1</v>
      </c>
      <c r="C4" s="5" t="s">
        <v>422</v>
      </c>
      <c r="E4" t="s">
        <v>420</v>
      </c>
      <c r="F4" t="s">
        <v>420</v>
      </c>
      <c r="G4" s="61">
        <v>10</v>
      </c>
      <c r="H4" t="s">
        <v>356</v>
      </c>
      <c r="I4" t="s">
        <v>421</v>
      </c>
      <c r="J4" t="s">
        <v>373</v>
      </c>
      <c r="K4">
        <v>87753675</v>
      </c>
      <c r="L4">
        <v>801</v>
      </c>
      <c r="M4" t="s">
        <v>420</v>
      </c>
      <c r="N4" s="68">
        <v>4761739001010260</v>
      </c>
    </row>
    <row r="5" spans="1:15" x14ac:dyDescent="0.35">
      <c r="A5" t="s">
        <v>426</v>
      </c>
      <c r="B5" t="s">
        <v>3</v>
      </c>
    </row>
    <row r="6" spans="1:15" x14ac:dyDescent="0.35">
      <c r="A6" t="s">
        <v>427</v>
      </c>
      <c r="B6" t="s">
        <v>2</v>
      </c>
      <c r="C6" t="s">
        <v>450</v>
      </c>
    </row>
    <row r="7" spans="1:15" x14ac:dyDescent="0.35">
      <c r="A7" t="s">
        <v>428</v>
      </c>
      <c r="B7" t="s">
        <v>3</v>
      </c>
      <c r="C7" s="5"/>
    </row>
    <row r="8" spans="1:15" x14ac:dyDescent="0.35">
      <c r="A8" t="s">
        <v>429</v>
      </c>
      <c r="B8" t="s">
        <v>1</v>
      </c>
      <c r="C8" t="s">
        <v>448</v>
      </c>
      <c r="E8" t="s">
        <v>439</v>
      </c>
      <c r="F8" t="s">
        <v>440</v>
      </c>
      <c r="G8" s="61">
        <v>10</v>
      </c>
      <c r="H8" t="s">
        <v>356</v>
      </c>
      <c r="I8" t="s">
        <v>388</v>
      </c>
      <c r="J8" t="s">
        <v>441</v>
      </c>
      <c r="K8">
        <v>87752291</v>
      </c>
      <c r="L8">
        <v>51</v>
      </c>
      <c r="M8" t="s">
        <v>442</v>
      </c>
    </row>
    <row r="9" spans="1:15" x14ac:dyDescent="0.35">
      <c r="A9" t="s">
        <v>430</v>
      </c>
      <c r="B9" t="s">
        <v>3</v>
      </c>
    </row>
    <row r="10" spans="1:15" x14ac:dyDescent="0.35">
      <c r="A10" t="s">
        <v>431</v>
      </c>
      <c r="B10" t="s">
        <v>3</v>
      </c>
    </row>
    <row r="11" spans="1:15" x14ac:dyDescent="0.35">
      <c r="A11" t="s">
        <v>432</v>
      </c>
      <c r="B11" t="s">
        <v>3</v>
      </c>
    </row>
  </sheetData>
  <conditionalFormatting sqref="A2:A11">
    <cfRule type="expression" dxfId="50" priority="2">
      <formula>B2="Fail"</formula>
    </cfRule>
    <cfRule type="expression" dxfId="49" priority="3">
      <formula>B2="Pending"</formula>
    </cfRule>
  </conditionalFormatting>
  <conditionalFormatting sqref="A2:A11">
    <cfRule type="expression" dxfId="48" priority="1">
      <formula>B2="Pass"</formula>
    </cfRule>
  </conditionalFormatting>
  <dataValidations count="1">
    <dataValidation type="list" allowBlank="1" showInputMessage="1" showErrorMessage="1" sqref="B2:B11" xr:uid="{00000000-0002-0000-0C00-000000000000}">
      <formula1>#REF!</formula1>
    </dataValidation>
  </dataValidations>
  <pageMargins left="0.7" right="0.7" top="0.75" bottom="0.75" header="0.3" footer="0.3"/>
  <pageSetup orientation="portrait" horizontalDpi="300" verticalDpi="300" r:id="rId1"/>
  <tableParts count="1">
    <tablePart r:id="rId2"/>
  </tableParts>
  <extLst>
    <ext xmlns:x14="http://schemas.microsoft.com/office/spreadsheetml/2009/9/main" uri="{78C0D931-6437-407d-A8EE-F0AAD7539E65}">
      <x14:conditionalFormattings>
        <x14:conditionalFormatting xmlns:xm="http://schemas.microsoft.com/office/excel/2006/main">
          <x14:cfRule type="containsText" priority="7" operator="containsText" id="{6ECC3D14-83A9-4B99-A0E5-5E02D2B6152F}">
            <xm:f>NOT(ISERROR(SEARCH(#REF!,B2)))</xm:f>
            <xm:f>#REF!</xm:f>
            <x14:dxf>
              <font>
                <b val="0"/>
                <i val="0"/>
                <color theme="9" tint="-0.499984740745262"/>
              </font>
              <fill>
                <patternFill>
                  <bgColor theme="9" tint="0.59996337778862885"/>
                </patternFill>
              </fill>
            </x14:dxf>
          </x14:cfRule>
          <x14:cfRule type="containsText" priority="8" operator="containsText" id="{8CB8FE53-F634-430E-A974-CD6EF9DD5798}">
            <xm:f>NOT(ISERROR(SEARCH(#REF!,B2)))</xm:f>
            <xm:f>#REF!</xm:f>
            <x14:dxf>
              <font>
                <b val="0"/>
                <i val="0"/>
                <color rgb="FFC00000"/>
              </font>
              <fill>
                <patternFill>
                  <bgColor rgb="FFFFCCCC"/>
                </patternFill>
              </fill>
            </x14:dxf>
          </x14:cfRule>
          <x14:cfRule type="containsText" priority="9" operator="containsText" id="{83D00B0C-F876-4063-8A6F-FD8DFB4AAD67}">
            <xm:f>NOT(ISERROR(SEARCH(#REF!,B2)))</xm:f>
            <xm:f>#REF!</xm:f>
            <x14:dxf>
              <font>
                <b val="0"/>
                <i val="0"/>
                <color theme="7" tint="-0.499984740745262"/>
              </font>
              <fill>
                <patternFill>
                  <bgColor theme="7" tint="0.59996337778862885"/>
                </patternFill>
              </fill>
            </x14:dxf>
          </x14:cfRule>
          <xm:sqref>B2:B11</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1000000}">
          <x14:formula1>
            <xm:f>Overview!$C$9:$C$12</xm:f>
          </x14:formula1>
          <xm:sqref>D2:D11</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P21"/>
  <sheetViews>
    <sheetView workbookViewId="0">
      <selection sqref="A1:C4"/>
    </sheetView>
  </sheetViews>
  <sheetFormatPr defaultRowHeight="14.5" x14ac:dyDescent="0.35"/>
  <cols>
    <col min="1" max="1" width="11.6328125" customWidth="1"/>
    <col min="3" max="3" width="43.453125" style="5" customWidth="1"/>
    <col min="4" max="4" width="12.90625" bestFit="1" customWidth="1"/>
    <col min="11" max="11" width="16.08984375" customWidth="1"/>
    <col min="14" max="14" width="20.1796875" customWidth="1"/>
    <col min="15" max="15" width="9.54296875" bestFit="1" customWidth="1"/>
    <col min="16" max="16" width="19" customWidth="1"/>
  </cols>
  <sheetData>
    <row r="1" spans="1:16" x14ac:dyDescent="0.35">
      <c r="A1" s="4" t="s">
        <v>0</v>
      </c>
      <c r="B1" s="4" t="s">
        <v>5</v>
      </c>
      <c r="C1" s="6" t="s">
        <v>206</v>
      </c>
      <c r="D1" s="4" t="s">
        <v>315</v>
      </c>
      <c r="E1" s="62" t="s">
        <v>359</v>
      </c>
      <c r="F1" s="62" t="s">
        <v>360</v>
      </c>
      <c r="G1" s="62" t="s">
        <v>361</v>
      </c>
      <c r="H1" s="62" t="s">
        <v>362</v>
      </c>
      <c r="I1" s="62" t="s">
        <v>363</v>
      </c>
      <c r="J1" s="62" t="s">
        <v>364</v>
      </c>
      <c r="K1" s="62" t="s">
        <v>365</v>
      </c>
      <c r="L1" s="62" t="s">
        <v>366</v>
      </c>
      <c r="M1" s="62" t="s">
        <v>367</v>
      </c>
      <c r="N1" s="62" t="s">
        <v>376</v>
      </c>
      <c r="O1" s="62" t="s">
        <v>374</v>
      </c>
      <c r="P1" s="69" t="s">
        <v>463</v>
      </c>
    </row>
    <row r="2" spans="1:16" x14ac:dyDescent="0.35">
      <c r="A2" t="s">
        <v>234</v>
      </c>
      <c r="B2" t="s">
        <v>3</v>
      </c>
    </row>
    <row r="3" spans="1:16" ht="15.65" customHeight="1" x14ac:dyDescent="0.35">
      <c r="A3" t="s">
        <v>235</v>
      </c>
      <c r="B3" t="s">
        <v>2</v>
      </c>
      <c r="C3" s="5" t="s">
        <v>416</v>
      </c>
      <c r="D3" t="s">
        <v>353</v>
      </c>
      <c r="G3" s="66" t="s">
        <v>393</v>
      </c>
      <c r="H3" t="s">
        <v>356</v>
      </c>
      <c r="I3" t="s">
        <v>388</v>
      </c>
      <c r="J3" t="s">
        <v>389</v>
      </c>
      <c r="K3" s="5" t="s">
        <v>390</v>
      </c>
      <c r="L3">
        <v>71</v>
      </c>
      <c r="M3" t="s">
        <v>391</v>
      </c>
      <c r="N3" s="67" t="s">
        <v>392</v>
      </c>
      <c r="O3" s="10">
        <v>43215</v>
      </c>
    </row>
    <row r="4" spans="1:16" x14ac:dyDescent="0.35">
      <c r="A4" t="s">
        <v>236</v>
      </c>
      <c r="B4" t="s">
        <v>3</v>
      </c>
    </row>
    <row r="5" spans="1:16" x14ac:dyDescent="0.35">
      <c r="A5" t="s">
        <v>237</v>
      </c>
      <c r="B5" t="s">
        <v>3</v>
      </c>
    </row>
    <row r="6" spans="1:16" x14ac:dyDescent="0.35">
      <c r="A6" t="s">
        <v>238</v>
      </c>
      <c r="B6" t="s">
        <v>3</v>
      </c>
    </row>
    <row r="7" spans="1:16" x14ac:dyDescent="0.35">
      <c r="A7" t="s">
        <v>239</v>
      </c>
      <c r="B7" t="s">
        <v>3</v>
      </c>
    </row>
    <row r="8" spans="1:16" ht="101.5" x14ac:dyDescent="0.35">
      <c r="A8" t="s">
        <v>451</v>
      </c>
      <c r="B8" t="s">
        <v>2</v>
      </c>
      <c r="C8" s="5" t="s">
        <v>466</v>
      </c>
      <c r="D8" t="s">
        <v>353</v>
      </c>
      <c r="E8" t="s">
        <v>443</v>
      </c>
      <c r="F8" s="5" t="s">
        <v>465</v>
      </c>
      <c r="G8" s="61">
        <v>80</v>
      </c>
      <c r="H8" t="s">
        <v>452</v>
      </c>
      <c r="I8" t="s">
        <v>388</v>
      </c>
      <c r="J8" s="71" t="s">
        <v>464</v>
      </c>
      <c r="K8">
        <v>88106889</v>
      </c>
      <c r="L8">
        <v>71</v>
      </c>
      <c r="M8" t="s">
        <v>445</v>
      </c>
      <c r="O8" s="10">
        <v>43244</v>
      </c>
      <c r="P8" t="s">
        <v>462</v>
      </c>
    </row>
    <row r="9" spans="1:16" x14ac:dyDescent="0.35">
      <c r="A9" t="s">
        <v>240</v>
      </c>
      <c r="B9" t="s">
        <v>1</v>
      </c>
      <c r="C9" s="7" t="s">
        <v>449</v>
      </c>
      <c r="E9" t="s">
        <v>443</v>
      </c>
      <c r="F9" t="s">
        <v>444</v>
      </c>
      <c r="G9" s="61">
        <v>9</v>
      </c>
      <c r="H9" t="s">
        <v>356</v>
      </c>
      <c r="I9" t="s">
        <v>388</v>
      </c>
      <c r="J9" t="s">
        <v>389</v>
      </c>
      <c r="K9" t="s">
        <v>446</v>
      </c>
      <c r="L9">
        <v>71</v>
      </c>
      <c r="M9" t="s">
        <v>445</v>
      </c>
      <c r="O9" s="10">
        <v>43236</v>
      </c>
    </row>
    <row r="10" spans="1:16" x14ac:dyDescent="0.35">
      <c r="A10" t="s">
        <v>241</v>
      </c>
      <c r="B10" t="s">
        <v>3</v>
      </c>
      <c r="C10" s="7"/>
    </row>
    <row r="11" spans="1:16" x14ac:dyDescent="0.35">
      <c r="A11" t="s">
        <v>242</v>
      </c>
      <c r="B11" t="s">
        <v>1</v>
      </c>
      <c r="C11" s="7" t="s">
        <v>447</v>
      </c>
    </row>
    <row r="12" spans="1:16" x14ac:dyDescent="0.35">
      <c r="A12" t="s">
        <v>243</v>
      </c>
      <c r="B12" t="s">
        <v>3</v>
      </c>
      <c r="C12" s="7"/>
    </row>
    <row r="13" spans="1:16" x14ac:dyDescent="0.35">
      <c r="A13" t="s">
        <v>244</v>
      </c>
      <c r="B13" t="s">
        <v>3</v>
      </c>
      <c r="C13" s="7"/>
    </row>
    <row r="14" spans="1:16" x14ac:dyDescent="0.35">
      <c r="C14" s="7"/>
    </row>
    <row r="15" spans="1:16" x14ac:dyDescent="0.35">
      <c r="C15" s="7"/>
    </row>
    <row r="16" spans="1:16" x14ac:dyDescent="0.35">
      <c r="C16" s="7"/>
    </row>
    <row r="17" spans="3:3" x14ac:dyDescent="0.35">
      <c r="C17" s="7"/>
    </row>
    <row r="18" spans="3:3" x14ac:dyDescent="0.35">
      <c r="C18" s="7"/>
    </row>
    <row r="19" spans="3:3" x14ac:dyDescent="0.35">
      <c r="C19" s="7"/>
    </row>
    <row r="20" spans="3:3" x14ac:dyDescent="0.35">
      <c r="C20" s="7"/>
    </row>
    <row r="21" spans="3:3" x14ac:dyDescent="0.35">
      <c r="C21" s="7"/>
    </row>
  </sheetData>
  <conditionalFormatting sqref="A2:A13">
    <cfRule type="expression" dxfId="43" priority="2">
      <formula>B2="Fail"</formula>
    </cfRule>
    <cfRule type="expression" dxfId="42" priority="3">
      <formula>B2="Pending"</formula>
    </cfRule>
  </conditionalFormatting>
  <conditionalFormatting sqref="A2:A13">
    <cfRule type="expression" dxfId="41" priority="1">
      <formula>B2="Pass"</formula>
    </cfRule>
  </conditionalFormatting>
  <dataValidations count="1">
    <dataValidation type="list" allowBlank="1" showInputMessage="1" showErrorMessage="1" sqref="B2:B13" xr:uid="{00000000-0002-0000-0D00-000000000000}">
      <formula1>#REF!</formula1>
    </dataValidation>
  </dataValidations>
  <pageMargins left="0.7" right="0.7" top="0.75" bottom="0.75" header="0.3" footer="0.3"/>
  <pageSetup orientation="portrait" horizontalDpi="4294967295" verticalDpi="4294967295" r:id="rId1"/>
  <tableParts count="1">
    <tablePart r:id="rId2"/>
  </tableParts>
  <extLst>
    <ext xmlns:x14="http://schemas.microsoft.com/office/spreadsheetml/2009/9/main" uri="{78C0D931-6437-407d-A8EE-F0AAD7539E65}">
      <x14:conditionalFormattings>
        <x14:conditionalFormatting xmlns:xm="http://schemas.microsoft.com/office/excel/2006/main">
          <x14:cfRule type="containsText" priority="4" operator="containsText" id="{09F44F69-D47F-4F53-A26D-7B00BA4A5058}">
            <xm:f>NOT(ISERROR(SEARCH(#REF!,B2)))</xm:f>
            <xm:f>#REF!</xm:f>
            <x14:dxf>
              <font>
                <b val="0"/>
                <i val="0"/>
                <color theme="9" tint="-0.499984740745262"/>
              </font>
              <fill>
                <patternFill>
                  <bgColor theme="9" tint="0.59996337778862885"/>
                </patternFill>
              </fill>
            </x14:dxf>
          </x14:cfRule>
          <x14:cfRule type="containsText" priority="5" operator="containsText" id="{52EA4B3C-44A2-4E42-958B-6E72757EFB3A}">
            <xm:f>NOT(ISERROR(SEARCH(#REF!,B2)))</xm:f>
            <xm:f>#REF!</xm:f>
            <x14:dxf>
              <font>
                <b val="0"/>
                <i val="0"/>
                <color rgb="FFC00000"/>
              </font>
              <fill>
                <patternFill>
                  <bgColor rgb="FFFFCCCC"/>
                </patternFill>
              </fill>
            </x14:dxf>
          </x14:cfRule>
          <x14:cfRule type="containsText" priority="6" operator="containsText" id="{E84E04B9-9F63-4AD6-8970-3DCCA6D6D283}">
            <xm:f>NOT(ISERROR(SEARCH(#REF!,B2)))</xm:f>
            <xm:f>#REF!</xm:f>
            <x14:dxf>
              <font>
                <b val="0"/>
                <i val="0"/>
                <color theme="7" tint="-0.499984740745262"/>
              </font>
              <fill>
                <patternFill>
                  <bgColor theme="7" tint="0.59996337778862885"/>
                </patternFill>
              </fill>
            </x14:dxf>
          </x14:cfRule>
          <xm:sqref>B2:B13</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01000000}">
          <x14:formula1>
            <xm:f>Overview!$C$9:$C$12</xm:f>
          </x14:formula1>
          <xm:sqref>D2:D13</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O6"/>
  <sheetViews>
    <sheetView workbookViewId="0">
      <selection activeCell="H17" sqref="H15:H17"/>
    </sheetView>
  </sheetViews>
  <sheetFormatPr defaultRowHeight="14.5" x14ac:dyDescent="0.35"/>
  <cols>
    <col min="1" max="1" width="11" customWidth="1"/>
    <col min="3" max="3" width="54.36328125" style="5" customWidth="1"/>
    <col min="4" max="4" width="12.90625" bestFit="1" customWidth="1"/>
    <col min="5" max="5" width="13.36328125" customWidth="1"/>
    <col min="6" max="6" width="17.6328125" customWidth="1"/>
    <col min="7" max="7" width="12.453125" customWidth="1"/>
    <col min="8" max="8" width="15" customWidth="1"/>
    <col min="9" max="9" width="10.90625" customWidth="1"/>
  </cols>
  <sheetData>
    <row r="1" spans="1:15" ht="14.4" customHeight="1" x14ac:dyDescent="0.35">
      <c r="A1" s="4" t="s">
        <v>0</v>
      </c>
      <c r="B1" s="4" t="s">
        <v>5</v>
      </c>
      <c r="C1" s="6" t="s">
        <v>206</v>
      </c>
      <c r="D1" s="4" t="s">
        <v>315</v>
      </c>
      <c r="E1" s="69" t="s">
        <v>359</v>
      </c>
      <c r="F1" s="69" t="s">
        <v>360</v>
      </c>
      <c r="G1" s="69" t="s">
        <v>361</v>
      </c>
      <c r="H1" s="69" t="s">
        <v>362</v>
      </c>
      <c r="I1" s="69" t="s">
        <v>363</v>
      </c>
      <c r="J1" s="69" t="s">
        <v>364</v>
      </c>
      <c r="K1" s="69" t="s">
        <v>365</v>
      </c>
      <c r="L1" s="69" t="s">
        <v>366</v>
      </c>
      <c r="M1" s="69" t="s">
        <v>367</v>
      </c>
      <c r="N1" s="69" t="s">
        <v>376</v>
      </c>
      <c r="O1" s="69" t="s">
        <v>374</v>
      </c>
    </row>
    <row r="2" spans="1:15" x14ac:dyDescent="0.35">
      <c r="A2" t="s">
        <v>43</v>
      </c>
      <c r="B2" t="s">
        <v>1</v>
      </c>
      <c r="C2" s="8"/>
      <c r="E2" t="s">
        <v>455</v>
      </c>
      <c r="F2" t="s">
        <v>453</v>
      </c>
      <c r="G2" s="61">
        <v>10</v>
      </c>
      <c r="H2" t="s">
        <v>454</v>
      </c>
      <c r="I2" t="s">
        <v>388</v>
      </c>
      <c r="J2" t="s">
        <v>457</v>
      </c>
      <c r="K2" t="s">
        <v>456</v>
      </c>
      <c r="L2">
        <v>51</v>
      </c>
      <c r="M2" t="s">
        <v>442</v>
      </c>
      <c r="O2">
        <v>5541</v>
      </c>
    </row>
    <row r="3" spans="1:15" x14ac:dyDescent="0.35">
      <c r="A3" t="s">
        <v>41</v>
      </c>
      <c r="B3" t="s">
        <v>3</v>
      </c>
      <c r="C3" s="8"/>
    </row>
    <row r="4" spans="1:15" x14ac:dyDescent="0.35">
      <c r="A4" t="s">
        <v>44</v>
      </c>
      <c r="B4" t="s">
        <v>3</v>
      </c>
    </row>
    <row r="5" spans="1:15" ht="43.5" x14ac:dyDescent="0.35">
      <c r="A5" t="s">
        <v>42</v>
      </c>
      <c r="B5" t="s">
        <v>1</v>
      </c>
      <c r="C5" s="8"/>
      <c r="E5" s="9" t="s">
        <v>459</v>
      </c>
      <c r="F5" s="9" t="s">
        <v>458</v>
      </c>
      <c r="G5" s="70">
        <v>91</v>
      </c>
      <c r="H5" s="7" t="s">
        <v>460</v>
      </c>
      <c r="I5" s="9" t="s">
        <v>388</v>
      </c>
      <c r="J5" t="s">
        <v>461</v>
      </c>
      <c r="K5">
        <v>88114035</v>
      </c>
      <c r="L5">
        <v>51</v>
      </c>
      <c r="M5" t="s">
        <v>442</v>
      </c>
    </row>
    <row r="6" spans="1:15" x14ac:dyDescent="0.35">
      <c r="A6" t="s">
        <v>145</v>
      </c>
      <c r="B6" t="s">
        <v>3</v>
      </c>
    </row>
  </sheetData>
  <conditionalFormatting sqref="A2:A6">
    <cfRule type="expression" dxfId="35" priority="2">
      <formula>B2="Fail"</formula>
    </cfRule>
    <cfRule type="expression" dxfId="34" priority="3">
      <formula>B2="Pending"</formula>
    </cfRule>
  </conditionalFormatting>
  <conditionalFormatting sqref="A2:A6">
    <cfRule type="expression" dxfId="33" priority="1">
      <formula>B2="Pass"</formula>
    </cfRule>
  </conditionalFormatting>
  <dataValidations count="1">
    <dataValidation type="list" allowBlank="1" showInputMessage="1" showErrorMessage="1" sqref="B2:B6" xr:uid="{00000000-0002-0000-0E00-000000000000}">
      <formula1>#REF!</formula1>
    </dataValidation>
  </dataValidations>
  <pageMargins left="0.7" right="0.7" top="0.75" bottom="0.75" header="0.3" footer="0.3"/>
  <pageSetup orientation="portrait" horizontalDpi="300" verticalDpi="300" r:id="rId1"/>
  <tableParts count="1">
    <tablePart r:id="rId2"/>
  </tableParts>
  <extLst>
    <ext xmlns:x14="http://schemas.microsoft.com/office/spreadsheetml/2009/9/main" uri="{78C0D931-6437-407d-A8EE-F0AAD7539E65}">
      <x14:conditionalFormattings>
        <x14:conditionalFormatting xmlns:xm="http://schemas.microsoft.com/office/excel/2006/main">
          <x14:cfRule type="containsText" priority="4" operator="containsText" id="{9D73587E-1630-48A6-B4E8-C52454190CC0}">
            <xm:f>NOT(ISERROR(SEARCH(#REF!,B2)))</xm:f>
            <xm:f>#REF!</xm:f>
            <x14:dxf>
              <font>
                <b val="0"/>
                <i val="0"/>
                <color theme="9" tint="-0.499984740745262"/>
              </font>
              <fill>
                <patternFill>
                  <bgColor theme="9" tint="0.59996337778862885"/>
                </patternFill>
              </fill>
            </x14:dxf>
          </x14:cfRule>
          <x14:cfRule type="containsText" priority="5" operator="containsText" id="{7FA055C4-4BDB-41F5-94EE-402CF6701172}">
            <xm:f>NOT(ISERROR(SEARCH(#REF!,B2)))</xm:f>
            <xm:f>#REF!</xm:f>
            <x14:dxf>
              <font>
                <b val="0"/>
                <i val="0"/>
                <color rgb="FFC00000"/>
              </font>
              <fill>
                <patternFill>
                  <bgColor rgb="FFFFCCCC"/>
                </patternFill>
              </fill>
            </x14:dxf>
          </x14:cfRule>
          <x14:cfRule type="containsText" priority="6" operator="containsText" id="{6CF14C55-2574-43A5-94C7-5481EEC72C73}">
            <xm:f>NOT(ISERROR(SEARCH(#REF!,B2)))</xm:f>
            <xm:f>#REF!</xm:f>
            <x14:dxf>
              <font>
                <b val="0"/>
                <i val="0"/>
                <color theme="7" tint="-0.499984740745262"/>
              </font>
              <fill>
                <patternFill>
                  <bgColor theme="7" tint="0.59996337778862885"/>
                </patternFill>
              </fill>
            </x14:dxf>
          </x14:cfRule>
          <xm:sqref>B2:B6</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1000000}">
          <x14:formula1>
            <xm:f>Overview!$C$9:$C$12</xm:f>
          </x14:formula1>
          <xm:sqref>D2:D6</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dimension ref="A1:D64"/>
  <sheetViews>
    <sheetView workbookViewId="0">
      <selection activeCell="D16" sqref="D16"/>
    </sheetView>
  </sheetViews>
  <sheetFormatPr defaultRowHeight="14.5" x14ac:dyDescent="0.35"/>
  <cols>
    <col min="1" max="1" width="10.6328125" customWidth="1"/>
    <col min="3" max="3" width="58.36328125" style="5" customWidth="1"/>
    <col min="4" max="4" width="12.90625" customWidth="1"/>
  </cols>
  <sheetData>
    <row r="1" spans="1:4" x14ac:dyDescent="0.35">
      <c r="A1" s="1" t="s">
        <v>1</v>
      </c>
      <c r="B1">
        <f>COUNTIF(Table4[Result],"Pass")</f>
        <v>0</v>
      </c>
    </row>
    <row r="2" spans="1:4" x14ac:dyDescent="0.35">
      <c r="A2" s="2" t="s">
        <v>2</v>
      </c>
      <c r="B2">
        <f>COUNTIF(Table4[Result],"Fail")</f>
        <v>0</v>
      </c>
    </row>
    <row r="3" spans="1:4" x14ac:dyDescent="0.35">
      <c r="A3" s="3" t="s">
        <v>3</v>
      </c>
      <c r="B3">
        <f>COUNTIF(Table4[Result],"Pending")</f>
        <v>59</v>
      </c>
    </row>
    <row r="4" spans="1:4" x14ac:dyDescent="0.35">
      <c r="A4" t="s">
        <v>4</v>
      </c>
      <c r="B4">
        <f>COUNTA(Table4[Test Case])</f>
        <v>59</v>
      </c>
    </row>
    <row r="5" spans="1:4" x14ac:dyDescent="0.35">
      <c r="A5" s="4" t="s">
        <v>0</v>
      </c>
      <c r="B5" s="4" t="s">
        <v>5</v>
      </c>
      <c r="C5" s="6" t="s">
        <v>206</v>
      </c>
      <c r="D5" s="4" t="s">
        <v>315</v>
      </c>
    </row>
    <row r="6" spans="1:4" x14ac:dyDescent="0.35">
      <c r="A6" t="s">
        <v>84</v>
      </c>
      <c r="B6" t="s">
        <v>3</v>
      </c>
    </row>
    <row r="7" spans="1:4" x14ac:dyDescent="0.35">
      <c r="A7" t="s">
        <v>85</v>
      </c>
      <c r="B7" t="s">
        <v>3</v>
      </c>
    </row>
    <row r="8" spans="1:4" x14ac:dyDescent="0.35">
      <c r="A8" t="s">
        <v>86</v>
      </c>
      <c r="B8" t="s">
        <v>3</v>
      </c>
    </row>
    <row r="9" spans="1:4" x14ac:dyDescent="0.35">
      <c r="A9" t="s">
        <v>87</v>
      </c>
      <c r="B9" t="s">
        <v>3</v>
      </c>
    </row>
    <row r="10" spans="1:4" x14ac:dyDescent="0.35">
      <c r="A10" t="s">
        <v>88</v>
      </c>
      <c r="B10" t="s">
        <v>3</v>
      </c>
    </row>
    <row r="11" spans="1:4" x14ac:dyDescent="0.35">
      <c r="A11" t="s">
        <v>89</v>
      </c>
      <c r="B11" t="s">
        <v>3</v>
      </c>
    </row>
    <row r="12" spans="1:4" x14ac:dyDescent="0.35">
      <c r="A12" t="s">
        <v>90</v>
      </c>
      <c r="B12" t="s">
        <v>3</v>
      </c>
    </row>
    <row r="13" spans="1:4" x14ac:dyDescent="0.35">
      <c r="A13" t="s">
        <v>91</v>
      </c>
      <c r="B13" t="s">
        <v>3</v>
      </c>
    </row>
    <row r="14" spans="1:4" x14ac:dyDescent="0.35">
      <c r="A14" t="s">
        <v>92</v>
      </c>
      <c r="B14" t="s">
        <v>3</v>
      </c>
    </row>
    <row r="15" spans="1:4" x14ac:dyDescent="0.35">
      <c r="A15" t="s">
        <v>93</v>
      </c>
      <c r="B15" t="s">
        <v>3</v>
      </c>
    </row>
    <row r="16" spans="1:4" x14ac:dyDescent="0.35">
      <c r="A16" t="s">
        <v>94</v>
      </c>
      <c r="B16" t="s">
        <v>3</v>
      </c>
    </row>
    <row r="17" spans="1:2" x14ac:dyDescent="0.35">
      <c r="A17" t="s">
        <v>95</v>
      </c>
      <c r="B17" t="s">
        <v>3</v>
      </c>
    </row>
    <row r="18" spans="1:2" x14ac:dyDescent="0.35">
      <c r="A18" t="s">
        <v>96</v>
      </c>
      <c r="B18" t="s">
        <v>3</v>
      </c>
    </row>
    <row r="19" spans="1:2" x14ac:dyDescent="0.35">
      <c r="A19" t="s">
        <v>97</v>
      </c>
      <c r="B19" t="s">
        <v>3</v>
      </c>
    </row>
    <row r="20" spans="1:2" x14ac:dyDescent="0.35">
      <c r="A20" t="s">
        <v>98</v>
      </c>
      <c r="B20" t="s">
        <v>3</v>
      </c>
    </row>
    <row r="21" spans="1:2" x14ac:dyDescent="0.35">
      <c r="A21" t="s">
        <v>99</v>
      </c>
      <c r="B21" t="s">
        <v>3</v>
      </c>
    </row>
    <row r="22" spans="1:2" x14ac:dyDescent="0.35">
      <c r="A22" t="s">
        <v>100</v>
      </c>
      <c r="B22" t="s">
        <v>3</v>
      </c>
    </row>
    <row r="23" spans="1:2" x14ac:dyDescent="0.35">
      <c r="A23" t="s">
        <v>101</v>
      </c>
      <c r="B23" t="s">
        <v>3</v>
      </c>
    </row>
    <row r="24" spans="1:2" x14ac:dyDescent="0.35">
      <c r="A24" t="s">
        <v>102</v>
      </c>
      <c r="B24" t="s">
        <v>3</v>
      </c>
    </row>
    <row r="25" spans="1:2" x14ac:dyDescent="0.35">
      <c r="A25" t="s">
        <v>103</v>
      </c>
      <c r="B25" t="s">
        <v>3</v>
      </c>
    </row>
    <row r="26" spans="1:2" x14ac:dyDescent="0.35">
      <c r="A26" t="s">
        <v>104</v>
      </c>
      <c r="B26" t="s">
        <v>3</v>
      </c>
    </row>
    <row r="27" spans="1:2" x14ac:dyDescent="0.35">
      <c r="A27" t="s">
        <v>105</v>
      </c>
      <c r="B27" t="s">
        <v>3</v>
      </c>
    </row>
    <row r="28" spans="1:2" x14ac:dyDescent="0.35">
      <c r="A28" t="s">
        <v>106</v>
      </c>
      <c r="B28" t="s">
        <v>3</v>
      </c>
    </row>
    <row r="29" spans="1:2" x14ac:dyDescent="0.35">
      <c r="A29" t="s">
        <v>107</v>
      </c>
      <c r="B29" t="s">
        <v>3</v>
      </c>
    </row>
    <row r="30" spans="1:2" x14ac:dyDescent="0.35">
      <c r="A30" t="s">
        <v>108</v>
      </c>
      <c r="B30" t="s">
        <v>3</v>
      </c>
    </row>
    <row r="31" spans="1:2" x14ac:dyDescent="0.35">
      <c r="A31" t="s">
        <v>109</v>
      </c>
      <c r="B31" t="s">
        <v>3</v>
      </c>
    </row>
    <row r="32" spans="1:2" x14ac:dyDescent="0.35">
      <c r="A32" t="s">
        <v>110</v>
      </c>
      <c r="B32" t="s">
        <v>3</v>
      </c>
    </row>
    <row r="33" spans="1:2" x14ac:dyDescent="0.35">
      <c r="A33" t="s">
        <v>111</v>
      </c>
      <c r="B33" t="s">
        <v>3</v>
      </c>
    </row>
    <row r="34" spans="1:2" x14ac:dyDescent="0.35">
      <c r="A34" t="s">
        <v>112</v>
      </c>
      <c r="B34" t="s">
        <v>3</v>
      </c>
    </row>
    <row r="35" spans="1:2" x14ac:dyDescent="0.35">
      <c r="A35" t="s">
        <v>113</v>
      </c>
      <c r="B35" t="s">
        <v>3</v>
      </c>
    </row>
    <row r="36" spans="1:2" x14ac:dyDescent="0.35">
      <c r="A36" t="s">
        <v>114</v>
      </c>
      <c r="B36" t="s">
        <v>3</v>
      </c>
    </row>
    <row r="37" spans="1:2" x14ac:dyDescent="0.35">
      <c r="A37" t="s">
        <v>115</v>
      </c>
      <c r="B37" t="s">
        <v>3</v>
      </c>
    </row>
    <row r="38" spans="1:2" x14ac:dyDescent="0.35">
      <c r="A38" t="s">
        <v>116</v>
      </c>
      <c r="B38" t="s">
        <v>3</v>
      </c>
    </row>
    <row r="39" spans="1:2" x14ac:dyDescent="0.35">
      <c r="A39" t="s">
        <v>117</v>
      </c>
      <c r="B39" t="s">
        <v>3</v>
      </c>
    </row>
    <row r="40" spans="1:2" x14ac:dyDescent="0.35">
      <c r="A40" t="s">
        <v>118</v>
      </c>
      <c r="B40" t="s">
        <v>3</v>
      </c>
    </row>
    <row r="41" spans="1:2" x14ac:dyDescent="0.35">
      <c r="A41" t="s">
        <v>119</v>
      </c>
      <c r="B41" t="s">
        <v>3</v>
      </c>
    </row>
    <row r="42" spans="1:2" x14ac:dyDescent="0.35">
      <c r="A42" t="s">
        <v>120</v>
      </c>
      <c r="B42" t="s">
        <v>3</v>
      </c>
    </row>
    <row r="43" spans="1:2" x14ac:dyDescent="0.35">
      <c r="A43" t="s">
        <v>121</v>
      </c>
      <c r="B43" t="s">
        <v>3</v>
      </c>
    </row>
    <row r="44" spans="1:2" x14ac:dyDescent="0.35">
      <c r="A44" t="s">
        <v>122</v>
      </c>
      <c r="B44" t="s">
        <v>3</v>
      </c>
    </row>
    <row r="45" spans="1:2" x14ac:dyDescent="0.35">
      <c r="A45" t="s">
        <v>123</v>
      </c>
      <c r="B45" t="s">
        <v>3</v>
      </c>
    </row>
    <row r="46" spans="1:2" x14ac:dyDescent="0.35">
      <c r="A46" t="s">
        <v>124</v>
      </c>
      <c r="B46" t="s">
        <v>3</v>
      </c>
    </row>
    <row r="47" spans="1:2" x14ac:dyDescent="0.35">
      <c r="A47" t="s">
        <v>125</v>
      </c>
      <c r="B47" t="s">
        <v>3</v>
      </c>
    </row>
    <row r="48" spans="1:2" x14ac:dyDescent="0.35">
      <c r="A48" t="s">
        <v>126</v>
      </c>
      <c r="B48" t="s">
        <v>3</v>
      </c>
    </row>
    <row r="49" spans="1:2" x14ac:dyDescent="0.35">
      <c r="A49" t="s">
        <v>127</v>
      </c>
      <c r="B49" t="s">
        <v>3</v>
      </c>
    </row>
    <row r="50" spans="1:2" x14ac:dyDescent="0.35">
      <c r="A50" t="s">
        <v>128</v>
      </c>
      <c r="B50" t="s">
        <v>3</v>
      </c>
    </row>
    <row r="51" spans="1:2" x14ac:dyDescent="0.35">
      <c r="A51" t="s">
        <v>129</v>
      </c>
      <c r="B51" t="s">
        <v>3</v>
      </c>
    </row>
    <row r="52" spans="1:2" x14ac:dyDescent="0.35">
      <c r="A52" t="s">
        <v>130</v>
      </c>
      <c r="B52" t="s">
        <v>3</v>
      </c>
    </row>
    <row r="53" spans="1:2" x14ac:dyDescent="0.35">
      <c r="A53" t="s">
        <v>131</v>
      </c>
      <c r="B53" t="s">
        <v>3</v>
      </c>
    </row>
    <row r="54" spans="1:2" x14ac:dyDescent="0.35">
      <c r="A54" t="s">
        <v>132</v>
      </c>
      <c r="B54" t="s">
        <v>3</v>
      </c>
    </row>
    <row r="55" spans="1:2" x14ac:dyDescent="0.35">
      <c r="A55" t="s">
        <v>133</v>
      </c>
      <c r="B55" t="s">
        <v>3</v>
      </c>
    </row>
    <row r="56" spans="1:2" x14ac:dyDescent="0.35">
      <c r="A56" t="s">
        <v>134</v>
      </c>
      <c r="B56" t="s">
        <v>3</v>
      </c>
    </row>
    <row r="57" spans="1:2" x14ac:dyDescent="0.35">
      <c r="A57" t="s">
        <v>135</v>
      </c>
      <c r="B57" t="s">
        <v>3</v>
      </c>
    </row>
    <row r="58" spans="1:2" x14ac:dyDescent="0.35">
      <c r="A58" t="s">
        <v>136</v>
      </c>
      <c r="B58" t="s">
        <v>3</v>
      </c>
    </row>
    <row r="59" spans="1:2" x14ac:dyDescent="0.35">
      <c r="A59" t="s">
        <v>137</v>
      </c>
      <c r="B59" t="s">
        <v>3</v>
      </c>
    </row>
    <row r="60" spans="1:2" x14ac:dyDescent="0.35">
      <c r="A60" t="s">
        <v>138</v>
      </c>
      <c r="B60" t="s">
        <v>3</v>
      </c>
    </row>
    <row r="61" spans="1:2" x14ac:dyDescent="0.35">
      <c r="A61" t="s">
        <v>139</v>
      </c>
      <c r="B61" t="s">
        <v>3</v>
      </c>
    </row>
    <row r="62" spans="1:2" x14ac:dyDescent="0.35">
      <c r="A62" t="s">
        <v>140</v>
      </c>
      <c r="B62" t="s">
        <v>3</v>
      </c>
    </row>
    <row r="63" spans="1:2" x14ac:dyDescent="0.35">
      <c r="A63" t="s">
        <v>141</v>
      </c>
      <c r="B63" t="s">
        <v>3</v>
      </c>
    </row>
    <row r="64" spans="1:2" x14ac:dyDescent="0.35">
      <c r="A64" t="s">
        <v>142</v>
      </c>
      <c r="B64" t="s">
        <v>3</v>
      </c>
    </row>
  </sheetData>
  <conditionalFormatting sqref="A6:A64">
    <cfRule type="expression" dxfId="27" priority="2">
      <formula>B6="Fail"</formula>
    </cfRule>
    <cfRule type="expression" dxfId="26" priority="3">
      <formula>B6="Pending"</formula>
    </cfRule>
  </conditionalFormatting>
  <conditionalFormatting sqref="A6:A64">
    <cfRule type="expression" dxfId="25" priority="1">
      <formula>B6="Pass"</formula>
    </cfRule>
  </conditionalFormatting>
  <dataValidations count="1">
    <dataValidation type="list" allowBlank="1" showInputMessage="1" showErrorMessage="1" sqref="B6:B64" xr:uid="{00000000-0002-0000-0F00-000000000000}">
      <formula1>$A$1:$A$3</formula1>
    </dataValidation>
  </dataValidations>
  <pageMargins left="0.7" right="0.7" top="0.75" bottom="0.75" header="0.3" footer="0.3"/>
  <pageSetup orientation="portrait" horizontalDpi="300" verticalDpi="300" r:id="rId1"/>
  <tableParts count="1">
    <tablePart r:id="rId2"/>
  </tableParts>
  <extLst>
    <ext xmlns:x14="http://schemas.microsoft.com/office/spreadsheetml/2009/9/main" uri="{78C0D931-6437-407d-A8EE-F0AAD7539E65}">
      <x14:conditionalFormattings>
        <x14:conditionalFormatting xmlns:xm="http://schemas.microsoft.com/office/excel/2006/main">
          <x14:cfRule type="containsText" priority="4" operator="containsText" id="{B0944BB7-B952-4A8E-960E-2061047671FF}">
            <xm:f>NOT(ISERROR(SEARCH($A$1,B6)))</xm:f>
            <xm:f>$A$1</xm:f>
            <x14:dxf>
              <font>
                <b val="0"/>
                <i val="0"/>
                <color theme="9" tint="-0.499984740745262"/>
              </font>
              <fill>
                <patternFill>
                  <bgColor theme="9" tint="0.59996337778862885"/>
                </patternFill>
              </fill>
            </x14:dxf>
          </x14:cfRule>
          <x14:cfRule type="containsText" priority="5" operator="containsText" id="{4C535CF7-F5C1-4214-8AA7-8287BCC8758C}">
            <xm:f>NOT(ISERROR(SEARCH($A$2,B6)))</xm:f>
            <xm:f>$A$2</xm:f>
            <x14:dxf>
              <font>
                <b val="0"/>
                <i val="0"/>
                <color rgb="FFC00000"/>
              </font>
              <fill>
                <patternFill>
                  <bgColor rgb="FFFFCCCC"/>
                </patternFill>
              </fill>
            </x14:dxf>
          </x14:cfRule>
          <x14:cfRule type="containsText" priority="6" operator="containsText" id="{CCB22C5E-2F92-4021-A579-199550C20300}">
            <xm:f>NOT(ISERROR(SEARCH($A$3,B6)))</xm:f>
            <xm:f>$A$3</xm:f>
            <x14:dxf>
              <font>
                <b val="0"/>
                <i val="0"/>
                <color theme="7" tint="-0.499984740745262"/>
              </font>
              <fill>
                <patternFill>
                  <bgColor theme="7" tint="0.59996337778862885"/>
                </patternFill>
              </fill>
            </x14:dxf>
          </x14:cfRule>
          <xm:sqref>B6:B64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F00-000001000000}">
          <x14:formula1>
            <xm:f>Overview!$C$9:$C$12</xm:f>
          </x14:formula1>
          <xm:sqref>D6:D64</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6"/>
  <dimension ref="A1:D35"/>
  <sheetViews>
    <sheetView workbookViewId="0">
      <selection activeCell="C6" sqref="C6"/>
    </sheetView>
  </sheetViews>
  <sheetFormatPr defaultRowHeight="14.5" x14ac:dyDescent="0.35"/>
  <cols>
    <col min="1" max="1" width="14.54296875" customWidth="1"/>
    <col min="3" max="3" width="62.08984375" customWidth="1"/>
    <col min="4" max="4" width="12.90625" bestFit="1" customWidth="1"/>
  </cols>
  <sheetData>
    <row r="1" spans="1:4" x14ac:dyDescent="0.35">
      <c r="A1" s="1" t="s">
        <v>1</v>
      </c>
      <c r="B1">
        <f>COUNTIF(Table2[Result],"Pass")</f>
        <v>0</v>
      </c>
    </row>
    <row r="2" spans="1:4" x14ac:dyDescent="0.35">
      <c r="A2" s="2" t="s">
        <v>2</v>
      </c>
      <c r="B2">
        <f>COUNTIF(Table2[Result],"Fail")</f>
        <v>0</v>
      </c>
    </row>
    <row r="3" spans="1:4" x14ac:dyDescent="0.35">
      <c r="A3" s="3" t="s">
        <v>3</v>
      </c>
      <c r="B3">
        <f>COUNTIF(Table2[Result],"Pending")</f>
        <v>30</v>
      </c>
    </row>
    <row r="4" spans="1:4" x14ac:dyDescent="0.35">
      <c r="A4" t="s">
        <v>4</v>
      </c>
      <c r="B4">
        <f>COUNTA(Table2[Result])</f>
        <v>30</v>
      </c>
    </row>
    <row r="5" spans="1:4" x14ac:dyDescent="0.35">
      <c r="A5" s="4" t="s">
        <v>0</v>
      </c>
      <c r="B5" s="4" t="s">
        <v>5</v>
      </c>
      <c r="C5" s="4" t="s">
        <v>206</v>
      </c>
      <c r="D5" s="4" t="s">
        <v>315</v>
      </c>
    </row>
    <row r="6" spans="1:4" x14ac:dyDescent="0.35">
      <c r="A6" t="s">
        <v>45</v>
      </c>
      <c r="B6" t="s">
        <v>3</v>
      </c>
      <c r="C6" s="5"/>
    </row>
    <row r="7" spans="1:4" x14ac:dyDescent="0.35">
      <c r="A7" t="s">
        <v>46</v>
      </c>
      <c r="B7" t="s">
        <v>3</v>
      </c>
      <c r="C7" s="5"/>
    </row>
    <row r="8" spans="1:4" x14ac:dyDescent="0.35">
      <c r="A8" t="s">
        <v>47</v>
      </c>
      <c r="B8" t="s">
        <v>3</v>
      </c>
      <c r="C8" s="5"/>
    </row>
    <row r="9" spans="1:4" x14ac:dyDescent="0.35">
      <c r="A9" t="s">
        <v>48</v>
      </c>
      <c r="B9" t="s">
        <v>3</v>
      </c>
      <c r="C9" s="5"/>
    </row>
    <row r="10" spans="1:4" x14ac:dyDescent="0.35">
      <c r="A10" t="s">
        <v>49</v>
      </c>
      <c r="B10" t="s">
        <v>3</v>
      </c>
      <c r="C10" s="5"/>
    </row>
    <row r="11" spans="1:4" x14ac:dyDescent="0.35">
      <c r="A11" t="s">
        <v>50</v>
      </c>
      <c r="B11" t="s">
        <v>3</v>
      </c>
      <c r="C11" s="5"/>
    </row>
    <row r="12" spans="1:4" x14ac:dyDescent="0.35">
      <c r="A12" t="s">
        <v>51</v>
      </c>
      <c r="B12" t="s">
        <v>3</v>
      </c>
      <c r="C12" s="5"/>
    </row>
    <row r="13" spans="1:4" x14ac:dyDescent="0.35">
      <c r="A13" t="s">
        <v>52</v>
      </c>
      <c r="B13" t="s">
        <v>3</v>
      </c>
      <c r="C13" s="5"/>
    </row>
    <row r="14" spans="1:4" x14ac:dyDescent="0.35">
      <c r="A14" t="s">
        <v>53</v>
      </c>
      <c r="B14" t="s">
        <v>3</v>
      </c>
      <c r="C14" s="5"/>
    </row>
    <row r="15" spans="1:4" x14ac:dyDescent="0.35">
      <c r="A15" t="s">
        <v>54</v>
      </c>
      <c r="B15" t="s">
        <v>3</v>
      </c>
      <c r="C15" s="5"/>
    </row>
    <row r="16" spans="1:4" x14ac:dyDescent="0.35">
      <c r="A16" t="s">
        <v>55</v>
      </c>
      <c r="B16" t="s">
        <v>3</v>
      </c>
      <c r="C16" s="5"/>
    </row>
    <row r="17" spans="1:3" x14ac:dyDescent="0.35">
      <c r="A17" t="s">
        <v>56</v>
      </c>
      <c r="B17" t="s">
        <v>3</v>
      </c>
      <c r="C17" s="5"/>
    </row>
    <row r="18" spans="1:3" x14ac:dyDescent="0.35">
      <c r="A18" t="s">
        <v>57</v>
      </c>
      <c r="B18" t="s">
        <v>3</v>
      </c>
      <c r="C18" s="5"/>
    </row>
    <row r="19" spans="1:3" x14ac:dyDescent="0.35">
      <c r="A19" t="s">
        <v>58</v>
      </c>
      <c r="B19" t="s">
        <v>3</v>
      </c>
      <c r="C19" s="5"/>
    </row>
    <row r="20" spans="1:3" x14ac:dyDescent="0.35">
      <c r="A20" t="s">
        <v>59</v>
      </c>
      <c r="B20" t="s">
        <v>3</v>
      </c>
      <c r="C20" s="5"/>
    </row>
    <row r="21" spans="1:3" x14ac:dyDescent="0.35">
      <c r="A21" t="s">
        <v>60</v>
      </c>
      <c r="B21" t="s">
        <v>3</v>
      </c>
      <c r="C21" s="5"/>
    </row>
    <row r="22" spans="1:3" x14ac:dyDescent="0.35">
      <c r="A22" t="s">
        <v>61</v>
      </c>
      <c r="B22" t="s">
        <v>3</v>
      </c>
      <c r="C22" s="5"/>
    </row>
    <row r="23" spans="1:3" x14ac:dyDescent="0.35">
      <c r="A23" t="s">
        <v>62</v>
      </c>
      <c r="B23" t="s">
        <v>3</v>
      </c>
      <c r="C23" s="5"/>
    </row>
    <row r="24" spans="1:3" x14ac:dyDescent="0.35">
      <c r="A24" t="s">
        <v>63</v>
      </c>
      <c r="B24" t="s">
        <v>3</v>
      </c>
      <c r="C24" s="5"/>
    </row>
    <row r="25" spans="1:3" x14ac:dyDescent="0.35">
      <c r="A25" t="s">
        <v>64</v>
      </c>
      <c r="B25" t="s">
        <v>3</v>
      </c>
      <c r="C25" s="5"/>
    </row>
    <row r="26" spans="1:3" x14ac:dyDescent="0.35">
      <c r="A26" t="s">
        <v>65</v>
      </c>
      <c r="B26" t="s">
        <v>3</v>
      </c>
      <c r="C26" s="5"/>
    </row>
    <row r="27" spans="1:3" x14ac:dyDescent="0.35">
      <c r="A27" t="s">
        <v>66</v>
      </c>
      <c r="B27" t="s">
        <v>3</v>
      </c>
      <c r="C27" s="5"/>
    </row>
    <row r="28" spans="1:3" x14ac:dyDescent="0.35">
      <c r="A28" t="s">
        <v>67</v>
      </c>
      <c r="B28" t="s">
        <v>3</v>
      </c>
      <c r="C28" s="5"/>
    </row>
    <row r="29" spans="1:3" x14ac:dyDescent="0.35">
      <c r="A29" t="s">
        <v>68</v>
      </c>
      <c r="B29" t="s">
        <v>3</v>
      </c>
      <c r="C29" s="5"/>
    </row>
    <row r="30" spans="1:3" x14ac:dyDescent="0.35">
      <c r="A30" t="s">
        <v>69</v>
      </c>
      <c r="B30" t="s">
        <v>3</v>
      </c>
      <c r="C30" s="5"/>
    </row>
    <row r="31" spans="1:3" x14ac:dyDescent="0.35">
      <c r="A31" t="s">
        <v>70</v>
      </c>
      <c r="B31" t="s">
        <v>3</v>
      </c>
      <c r="C31" s="5"/>
    </row>
    <row r="32" spans="1:3" x14ac:dyDescent="0.35">
      <c r="A32" t="s">
        <v>71</v>
      </c>
      <c r="B32" t="s">
        <v>3</v>
      </c>
      <c r="C32" s="5"/>
    </row>
    <row r="33" spans="1:3" x14ac:dyDescent="0.35">
      <c r="A33" t="s">
        <v>72</v>
      </c>
      <c r="B33" t="s">
        <v>3</v>
      </c>
      <c r="C33" s="5"/>
    </row>
    <row r="34" spans="1:3" x14ac:dyDescent="0.35">
      <c r="A34" t="s">
        <v>73</v>
      </c>
      <c r="B34" t="s">
        <v>3</v>
      </c>
      <c r="C34" s="5"/>
    </row>
    <row r="35" spans="1:3" x14ac:dyDescent="0.35">
      <c r="A35" t="s">
        <v>74</v>
      </c>
      <c r="B35" t="s">
        <v>3</v>
      </c>
      <c r="C35" s="5"/>
    </row>
  </sheetData>
  <conditionalFormatting sqref="A7:A23">
    <cfRule type="expression" dxfId="19" priority="32">
      <formula>B7="Fail"</formula>
    </cfRule>
    <cfRule type="expression" dxfId="18" priority="33">
      <formula>B7="Pending"</formula>
    </cfRule>
  </conditionalFormatting>
  <conditionalFormatting sqref="A7:A23">
    <cfRule type="expression" dxfId="17" priority="31">
      <formula>B7="Pass"</formula>
    </cfRule>
  </conditionalFormatting>
  <conditionalFormatting sqref="A6">
    <cfRule type="expression" dxfId="16" priority="26">
      <formula>B6="Fail"</formula>
    </cfRule>
    <cfRule type="expression" dxfId="15" priority="27">
      <formula>B6="Pending"</formula>
    </cfRule>
  </conditionalFormatting>
  <conditionalFormatting sqref="A6">
    <cfRule type="expression" dxfId="14" priority="25">
      <formula>B6="Pass"</formula>
    </cfRule>
  </conditionalFormatting>
  <conditionalFormatting sqref="A24">
    <cfRule type="expression" dxfId="13" priority="8">
      <formula>B24="Fail"</formula>
    </cfRule>
    <cfRule type="expression" dxfId="12" priority="9">
      <formula>B24="Pending"</formula>
    </cfRule>
  </conditionalFormatting>
  <conditionalFormatting sqref="A24">
    <cfRule type="expression" dxfId="11" priority="7">
      <formula>B24="Pass"</formula>
    </cfRule>
  </conditionalFormatting>
  <conditionalFormatting sqref="A25">
    <cfRule type="expression" dxfId="10" priority="5">
      <formula>B25="Fail"</formula>
    </cfRule>
    <cfRule type="expression" dxfId="9" priority="6">
      <formula>B25="Pending"</formula>
    </cfRule>
  </conditionalFormatting>
  <conditionalFormatting sqref="A25">
    <cfRule type="expression" dxfId="8" priority="4">
      <formula>B25="Pass"</formula>
    </cfRule>
  </conditionalFormatting>
  <conditionalFormatting sqref="A26:A35">
    <cfRule type="expression" dxfId="7" priority="2">
      <formula>B26="Fail"</formula>
    </cfRule>
    <cfRule type="expression" dxfId="6" priority="3">
      <formula>B26="Pending"</formula>
    </cfRule>
  </conditionalFormatting>
  <conditionalFormatting sqref="A26:A35">
    <cfRule type="expression" dxfId="5" priority="1">
      <formula>B26="Pass"</formula>
    </cfRule>
  </conditionalFormatting>
  <dataValidations count="1">
    <dataValidation type="list" allowBlank="1" showInputMessage="1" showErrorMessage="1" sqref="B6:B35" xr:uid="{00000000-0002-0000-1000-000000000000}">
      <formula1>$A$1:$A$3</formula1>
    </dataValidation>
  </dataValidations>
  <pageMargins left="0.7" right="0.7" top="0.75" bottom="0.75" header="0.3" footer="0.3"/>
  <pageSetup orientation="portrait" horizontalDpi="4294967295" verticalDpi="4294967295" r:id="rId1"/>
  <tableParts count="1">
    <tablePart r:id="rId2"/>
  </tableParts>
  <extLst>
    <ext xmlns:x14="http://schemas.microsoft.com/office/spreadsheetml/2009/9/main" uri="{78C0D931-6437-407d-A8EE-F0AAD7539E65}">
      <x14:conditionalFormattings>
        <x14:conditionalFormatting xmlns:xm="http://schemas.microsoft.com/office/excel/2006/main">
          <x14:cfRule type="containsText" priority="34" operator="containsText" id="{EE88D6EE-6D9E-4E89-92E0-DA6AB548B507}">
            <xm:f>NOT(ISERROR(SEARCH($A$1,B6)))</xm:f>
            <xm:f>$A$1</xm:f>
            <x14:dxf>
              <font>
                <b val="0"/>
                <i val="0"/>
                <color theme="9" tint="-0.499984740745262"/>
              </font>
              <fill>
                <patternFill>
                  <bgColor theme="9" tint="0.59996337778862885"/>
                </patternFill>
              </fill>
            </x14:dxf>
          </x14:cfRule>
          <x14:cfRule type="containsText" priority="35" operator="containsText" id="{F5953B63-C02C-4708-B930-3FC4B3D62B78}">
            <xm:f>NOT(ISERROR(SEARCH($A$2,B6)))</xm:f>
            <xm:f>$A$2</xm:f>
            <x14:dxf>
              <font>
                <b val="0"/>
                <i val="0"/>
                <color rgb="FFC00000"/>
              </font>
              <fill>
                <patternFill>
                  <bgColor rgb="FFFFCCCC"/>
                </patternFill>
              </fill>
            </x14:dxf>
          </x14:cfRule>
          <x14:cfRule type="containsText" priority="36" operator="containsText" id="{145FB54E-03E5-47A1-86D7-F9A43CD766CC}">
            <xm:f>NOT(ISERROR(SEARCH($A$3,B6)))</xm:f>
            <xm:f>$A$3</xm:f>
            <x14:dxf>
              <font>
                <b val="0"/>
                <i val="0"/>
                <color theme="7" tint="-0.499984740745262"/>
              </font>
              <fill>
                <patternFill>
                  <bgColor theme="7" tint="0.59996337778862885"/>
                </patternFill>
              </fill>
            </x14:dxf>
          </x14:cfRule>
          <xm:sqref>B6:B35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1000000}">
          <x14:formula1>
            <xm:f>Overview!$C$9:$C$12</xm:f>
          </x14:formula1>
          <xm:sqref>D6:D35</xm:sqref>
        </x14:dataValidation>
      </x14:dataValidations>
    </ext>
  </extLs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17</vt:i4>
      </vt:variant>
      <vt:variant>
        <vt:lpstr>Named Ranges</vt:lpstr>
      </vt:variant>
      <vt:variant>
        <vt:i4>1</vt:i4>
      </vt:variant>
    </vt:vector>
  </HeadingPairs>
  <TitlesOfParts>
    <vt:vector size="18" baseType="lpstr">
      <vt:lpstr>Overview</vt:lpstr>
      <vt:lpstr>Gantt</vt:lpstr>
      <vt:lpstr>Test Summary</vt:lpstr>
      <vt:lpstr>Field Options</vt:lpstr>
      <vt:lpstr>AMEX CT</vt:lpstr>
      <vt:lpstr>AMEX CTL</vt:lpstr>
      <vt:lpstr>AMEX QC</vt:lpstr>
      <vt:lpstr>Discover CT</vt:lpstr>
      <vt:lpstr>Instructions</vt:lpstr>
      <vt:lpstr>Discover CTL</vt:lpstr>
      <vt:lpstr>FD Superset</vt:lpstr>
      <vt:lpstr>MasterCard</vt:lpstr>
      <vt:lpstr>VISA CT</vt:lpstr>
      <vt:lpstr>VISA CTL</vt:lpstr>
      <vt:lpstr>VISA US Debit</vt:lpstr>
      <vt:lpstr>Interac</vt:lpstr>
      <vt:lpstr>DNA</vt:lpstr>
      <vt:lpstr>'VISA US Debit'!_MailEndCompose</vt:lpstr>
    </vt:vector>
  </TitlesOfParts>
  <Company>Underwriters Laboratories (UL)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Li, Yilin</dc:creator>
  <cp:lastModifiedBy>Muthakana, Virendra</cp:lastModifiedBy>
  <cp:lastPrinted>2018-02-20T21:21:30Z</cp:lastPrinted>
  <dcterms:created xsi:type="dcterms:W3CDTF">2016-09-28T17:59:13Z</dcterms:created>
  <dcterms:modified xsi:type="dcterms:W3CDTF">2018-11-30T16:09:21Z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a62589d2-4e13-4828-87c4-1f5b3d1c4fcc</vt:lpwstr>
  </property>
</Properties>
</file>