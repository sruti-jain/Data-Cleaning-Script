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15832\Downloads\projects\AMEX Certpro Manual Checks\Certpro Proj Docs\Python\"/>
    </mc:Choice>
  </mc:AlternateContent>
  <xr:revisionPtr revIDLastSave="0" documentId="10_ncr:100000_{00DCA325-D812-448D-A158-A18F02F3A671}" xr6:coauthVersionLast="31" xr6:coauthVersionMax="31" xr10:uidLastSave="{00000000-0000-0000-0000-000000000000}"/>
  <bookViews>
    <workbookView xWindow="0" yWindow="0" windowWidth="21160" windowHeight="8950" firstSheet="1" activeTab="5" xr2:uid="{00000000-000D-0000-FFFF-FFFF00000000}"/>
  </bookViews>
  <sheets>
    <sheet name="Instructions" sheetId="23" r:id="rId1"/>
    <sheet name="Overview" sheetId="18" r:id="rId2"/>
    <sheet name="Gantt" sheetId="20" state="hidden" r:id="rId3"/>
    <sheet name="Field Options" sheetId="19" state="hidden" r:id="rId4"/>
    <sheet name="Test Summary" sheetId="1" r:id="rId5"/>
    <sheet name="AMEX CT" sheetId="16" r:id="rId6"/>
    <sheet name="AMEX CTL" sheetId="17" r:id="rId7"/>
    <sheet name="AMEX QC" sheetId="21" state="hidden" r:id="rId8"/>
    <sheet name="Discover CT" sheetId="4" r:id="rId9"/>
    <sheet name="Discover CTL" sheetId="14" r:id="rId10"/>
    <sheet name="FD Superset" sheetId="22" state="hidden" r:id="rId11"/>
    <sheet name="MasterCard" sheetId="15" r:id="rId12"/>
    <sheet name="VISA CT" sheetId="8" r:id="rId13"/>
    <sheet name="VISA CTL" sheetId="7" r:id="rId14"/>
    <sheet name="VISA US Debit" sheetId="9" r:id="rId15"/>
    <sheet name="Clean run" sheetId="29" r:id="rId16"/>
    <sheet name="Interac" sheetId="5" state="hidden" r:id="rId17"/>
    <sheet name="DNA" sheetId="3" state="hidden" r:id="rId18"/>
    <sheet name="Action List" sheetId="24" r:id="rId19"/>
    <sheet name="Required Tags" sheetId="27" r:id="rId20"/>
    <sheet name="Manual Checks" sheetId="25" r:id="rId21"/>
    <sheet name="Receipt Checks" sheetId="26" r:id="rId22"/>
    <sheet name="Tag References" sheetId="28" r:id="rId23"/>
  </sheets>
  <definedNames>
    <definedName name="_xlnm._FilterDatabase" localSheetId="4" hidden="1">'Test Summary'!$A$1:$E$13</definedName>
    <definedName name="_MailEndCompose" localSheetId="14">'VISA US Debit'!$F$1</definedName>
    <definedName name="BP">#REF!</definedName>
    <definedName name="Buypass">#REF!</definedName>
    <definedName name="_xlnm.Criteria" localSheetId="4">'Test Summary'!#REF!</definedName>
    <definedName name="FDFE">#REF!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 "</definedName>
    <definedName name="LOCAL_SECOND_FORMAT" hidden="1">" "</definedName>
    <definedName name="LOCAL_TIME_SEPARATOR" hidden="1">INDEX(GET.WORKSPACE(37),18)</definedName>
    <definedName name="LOCAL_YEAR_FORMAT" hidden="1">INDEX(GET.WORKSPACE(37),19)</definedName>
    <definedName name="NN">#REF!</definedName>
    <definedName name="North_Nashville">#REF!</definedName>
    <definedName name="Omaha">#REF!</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29" l="1"/>
  <c r="B3" i="29"/>
  <c r="B2" i="29"/>
  <c r="B1" i="29"/>
  <c r="C66" i="27" l="1"/>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16" i="26"/>
  <c r="C34" i="27" l="1"/>
  <c r="B19" i="1"/>
  <c r="L1" i="1" s="1"/>
  <c r="G5" i="18"/>
  <c r="G6" i="18" s="1"/>
  <c r="G7" i="18" s="1"/>
  <c r="B20" i="1" l="1"/>
  <c r="N1" i="1" s="1"/>
  <c r="G8" i="18"/>
  <c r="G9" i="18" s="1"/>
  <c r="G10" i="18" s="1"/>
  <c r="D3" i="19"/>
  <c r="D4" i="19" s="1"/>
  <c r="H3" i="18" s="1"/>
  <c r="C3" i="20" l="1"/>
  <c r="F3" i="1" l="1"/>
  <c r="F4" i="1"/>
  <c r="F5" i="1"/>
  <c r="F6" i="1"/>
  <c r="F7" i="1"/>
  <c r="F8" i="1"/>
  <c r="F9" i="1"/>
  <c r="F10" i="1"/>
  <c r="F11" i="1"/>
  <c r="F12" i="1"/>
  <c r="F13" i="1"/>
  <c r="F2" i="1"/>
  <c r="B4" i="22"/>
  <c r="B3" i="22"/>
  <c r="B2" i="22"/>
  <c r="B1" i="22"/>
  <c r="B4" i="21"/>
  <c r="B3" i="21"/>
  <c r="B2" i="21"/>
  <c r="B1" i="21"/>
  <c r="C17" i="20"/>
  <c r="C16" i="20"/>
  <c r="E10" i="20"/>
  <c r="C11" i="20" s="1"/>
  <c r="E11" i="20"/>
  <c r="C12" i="20" s="1"/>
  <c r="E12" i="20"/>
  <c r="C13" i="20" s="1"/>
  <c r="E13" i="20"/>
  <c r="C14" i="20" s="1"/>
  <c r="E14" i="20"/>
  <c r="E9" i="20"/>
  <c r="C9" i="20"/>
  <c r="D4" i="1" l="1"/>
  <c r="E7" i="1"/>
  <c r="B7" i="1"/>
  <c r="C7" i="1"/>
  <c r="D7" i="1"/>
  <c r="B4" i="1"/>
  <c r="E4" i="1"/>
  <c r="C4" i="1"/>
  <c r="D9" i="20"/>
  <c r="D14" i="20"/>
  <c r="C10" i="20"/>
  <c r="D10" i="20" s="1"/>
  <c r="D11" i="20"/>
  <c r="D12" i="20"/>
  <c r="D13" i="20"/>
  <c r="E3" i="20" l="1"/>
  <c r="B12" i="18"/>
  <c r="C4" i="20" l="1"/>
  <c r="D3" i="20"/>
  <c r="E4" i="20"/>
  <c r="C5" i="20" s="1"/>
  <c r="E3" i="1"/>
  <c r="D3" i="1"/>
  <c r="C3" i="1"/>
  <c r="B3" i="1"/>
  <c r="E2" i="1"/>
  <c r="D2" i="1"/>
  <c r="C2" i="1"/>
  <c r="B2" i="1"/>
  <c r="E8" i="1"/>
  <c r="D8" i="1"/>
  <c r="C8" i="1"/>
  <c r="B8" i="1"/>
  <c r="E6" i="1"/>
  <c r="D6" i="1"/>
  <c r="C6" i="1"/>
  <c r="B6" i="1"/>
  <c r="E5" i="20" l="1"/>
  <c r="D4" i="20"/>
  <c r="E6" i="20" l="1"/>
  <c r="C6" i="20"/>
  <c r="D5" i="20"/>
  <c r="E7" i="20" l="1"/>
  <c r="C7" i="20"/>
  <c r="D6" i="20"/>
  <c r="C8" i="20" l="1"/>
  <c r="D7" i="20"/>
  <c r="E8" i="20"/>
  <c r="D8" i="20" l="1"/>
  <c r="C11" i="1" l="1"/>
  <c r="B11" i="1"/>
  <c r="D11" i="1"/>
  <c r="E11" i="1"/>
  <c r="D9" i="1"/>
  <c r="C9" i="1"/>
  <c r="B9" i="1"/>
  <c r="E9" i="1"/>
  <c r="D10" i="1"/>
  <c r="C10" i="1"/>
  <c r="B10" i="1"/>
  <c r="E10" i="1"/>
  <c r="B3" i="5"/>
  <c r="D12" i="1" s="1"/>
  <c r="B2" i="5"/>
  <c r="C12" i="1" s="1"/>
  <c r="B1" i="5"/>
  <c r="B12" i="1" s="1"/>
  <c r="B4" i="5"/>
  <c r="E12" i="1" s="1"/>
  <c r="D5" i="1"/>
  <c r="C5" i="1"/>
  <c r="B5" i="1"/>
  <c r="E5" i="1"/>
  <c r="B3" i="3"/>
  <c r="D13" i="1" s="1"/>
  <c r="B2" i="3"/>
  <c r="C13" i="1" s="1"/>
  <c r="B1" i="3"/>
  <c r="B13" i="1" s="1"/>
  <c r="B4" i="3"/>
  <c r="E13" i="1" s="1"/>
  <c r="B16" i="1" l="1"/>
  <c r="B17" i="1" s="1"/>
  <c r="J1" i="1" s="1"/>
  <c r="H1" i="1" l="1"/>
</calcChain>
</file>

<file path=xl/sharedStrings.xml><?xml version="1.0" encoding="utf-8"?>
<sst xmlns="http://schemas.openxmlformats.org/spreadsheetml/2006/main" count="2731" uniqueCount="1197">
  <si>
    <t>Test Case</t>
  </si>
  <si>
    <t>Pass</t>
  </si>
  <si>
    <t>Fail</t>
  </si>
  <si>
    <t>Pending</t>
  </si>
  <si>
    <t>Sum</t>
  </si>
  <si>
    <t>Result</t>
  </si>
  <si>
    <t>E2E 04</t>
  </si>
  <si>
    <t>E2E 15</t>
  </si>
  <si>
    <t>E2E 20</t>
  </si>
  <si>
    <t>E2E 35</t>
  </si>
  <si>
    <t>E2E 38</t>
  </si>
  <si>
    <t>E2E 44</t>
  </si>
  <si>
    <t>E2E 45</t>
  </si>
  <si>
    <t>E2E 46</t>
  </si>
  <si>
    <t>E2E 48</t>
  </si>
  <si>
    <t>M-TIP02.Test.01.Scenario.04</t>
  </si>
  <si>
    <t>M-TIP02.Test.01.Scenario.05</t>
  </si>
  <si>
    <t>M-TIP04.Test.01.Scenario.01</t>
  </si>
  <si>
    <t>M-TIP06.Test.01.Scenario.01</t>
  </si>
  <si>
    <t>M-TIP06.Test.02.Scenario.01</t>
  </si>
  <si>
    <t>M-TIP06.Test.03.Scenario.01</t>
  </si>
  <si>
    <t>M-TIP06.Test.05.Scenario.01</t>
  </si>
  <si>
    <t>M-TIP14.Test.01.Scenario.01</t>
  </si>
  <si>
    <t>M-TIP15.Test.01.Scenario.02</t>
  </si>
  <si>
    <t>M-TIP32.Test.01.Scenario.01</t>
  </si>
  <si>
    <t>M-TIP50.Test.01.Scenario.01</t>
  </si>
  <si>
    <t>M-TIP50.Test.02.Scenario.01</t>
  </si>
  <si>
    <t>MCC.351.Test.03.Scenario.01</t>
  </si>
  <si>
    <t>MCC.352.Test.01.Scenario.01</t>
  </si>
  <si>
    <t>MCC.353.Test.01.Scenario.02</t>
  </si>
  <si>
    <t>MCC.355.Test.01.Scenario.01</t>
  </si>
  <si>
    <t>MCC.357.Test.01.Scenario.01</t>
  </si>
  <si>
    <t>MCC.371A.Test.03.Scenario.01</t>
  </si>
  <si>
    <t>MCC.372.Test.01.Scenario.01</t>
  </si>
  <si>
    <t>PPC.MAP.01.Test.04.Scenario.01</t>
  </si>
  <si>
    <t>PPC.MAP.04.Test.06.Scenario.01</t>
  </si>
  <si>
    <t>PPC.MAP.10.Test.01.Scenario.01</t>
  </si>
  <si>
    <t>PPC.MCD.01.Test.01.Scenario.01</t>
  </si>
  <si>
    <t>PPC.MCD.01.Test.06.Scenario.01</t>
  </si>
  <si>
    <t>PPC.MCD.03.Test.04.Scenario.01</t>
  </si>
  <si>
    <t>PPC.MCD.06.Test.02.Scenario.01</t>
  </si>
  <si>
    <t>PPC.MCD.07.Test.02.Scenario.01</t>
  </si>
  <si>
    <t>PPC.MCD.10.Test.01.Scenario.01</t>
  </si>
  <si>
    <t>PPC.MCD.11.Test.03.Scenario.01</t>
  </si>
  <si>
    <t>PPC.MCD.20.Test.01.Scenario.01</t>
  </si>
  <si>
    <t>PPC.MCD.4A.Test.02.Scenario.01</t>
  </si>
  <si>
    <t>PPC.MCD.50.Test.01.Scenario.01</t>
  </si>
  <si>
    <t>Combo01.Test.01.Scenario.01</t>
  </si>
  <si>
    <t>Test Case 01 (d)</t>
  </si>
  <si>
    <t>Test Case 08</t>
  </si>
  <si>
    <t>Test Case 13</t>
  </si>
  <si>
    <t>Test Case 19</t>
  </si>
  <si>
    <t>Test Case 20</t>
  </si>
  <si>
    <t>Test Case 01 (a)</t>
  </si>
  <si>
    <t>ADVT 1A.4</t>
  </si>
  <si>
    <t>ADVT 2A.1</t>
  </si>
  <si>
    <t>ADVT 1A.1</t>
  </si>
  <si>
    <t>MCC.351.Test.02.Scenario.01</t>
  </si>
  <si>
    <t>MCC.353.Test.01.Scenario.01</t>
  </si>
  <si>
    <t>MCC.373.Test.01.Scenario.01</t>
  </si>
  <si>
    <t>MCC.374.Test.01.Scenario.01</t>
  </si>
  <si>
    <t>PPC.MCD.4A.Test.01.Scenario.01</t>
  </si>
  <si>
    <t>Combo32.Test.01.Scenario.02</t>
  </si>
  <si>
    <t>Terminal TC-01</t>
  </si>
  <si>
    <t>Terminal TC-02</t>
  </si>
  <si>
    <t>Terminal TC-03</t>
  </si>
  <si>
    <t>Terminal TC-04</t>
  </si>
  <si>
    <t>Terminal TC-05</t>
  </si>
  <si>
    <t>Terminal TC-08</t>
  </si>
  <si>
    <t>Terminal TC-09</t>
  </si>
  <si>
    <t>Terminal TC-09B</t>
  </si>
  <si>
    <t>Terminal TC-13</t>
  </si>
  <si>
    <t>Terminal TC-14</t>
  </si>
  <si>
    <t>Terminal TC-15</t>
  </si>
  <si>
    <t>Terminal TC-16</t>
  </si>
  <si>
    <t>Terminal TC-17</t>
  </si>
  <si>
    <t>Terminal TC-18</t>
  </si>
  <si>
    <t>Terminal TC-19</t>
  </si>
  <si>
    <t>Terminal TC-20</t>
  </si>
  <si>
    <t>Terminal TC-21</t>
  </si>
  <si>
    <t>Terminal TC-22C</t>
  </si>
  <si>
    <t>Terminal TC-23</t>
  </si>
  <si>
    <t>Terminal TC-25</t>
  </si>
  <si>
    <t>Terminal TC-26</t>
  </si>
  <si>
    <t>Terminal TC-27</t>
  </si>
  <si>
    <t>Terminal TC-29</t>
  </si>
  <si>
    <t>Terminal TC-30</t>
  </si>
  <si>
    <t>Terminal TC-31</t>
  </si>
  <si>
    <t>Terminal TC-33</t>
  </si>
  <si>
    <t>Terminal TC-34</t>
  </si>
  <si>
    <t>Terminal TC-35</t>
  </si>
  <si>
    <t>Terminal TC-36</t>
  </si>
  <si>
    <t>Terminal TC-40</t>
  </si>
  <si>
    <t>DNA</t>
  </si>
  <si>
    <t>Card01</t>
  </si>
  <si>
    <t>Card02</t>
  </si>
  <si>
    <t>Data01</t>
  </si>
  <si>
    <t>Data02</t>
  </si>
  <si>
    <t>Data03</t>
  </si>
  <si>
    <t>Data04</t>
  </si>
  <si>
    <t>Data06</t>
  </si>
  <si>
    <t>Data08</t>
  </si>
  <si>
    <t>Data09</t>
  </si>
  <si>
    <t>Data10</t>
  </si>
  <si>
    <t>Data13</t>
  </si>
  <si>
    <t>EndToEnd09</t>
  </si>
  <si>
    <t>Function01</t>
  </si>
  <si>
    <t>Function02</t>
  </si>
  <si>
    <t>Function07</t>
  </si>
  <si>
    <t>Function08</t>
  </si>
  <si>
    <t>Function17</t>
  </si>
  <si>
    <t>Function20</t>
  </si>
  <si>
    <t>Function21</t>
  </si>
  <si>
    <t>Function23</t>
  </si>
  <si>
    <t>Function24</t>
  </si>
  <si>
    <t>Function25</t>
  </si>
  <si>
    <t>Inter01</t>
  </si>
  <si>
    <t>Inter02</t>
  </si>
  <si>
    <t>Inter03</t>
  </si>
  <si>
    <t>Inter04</t>
  </si>
  <si>
    <t>Inter05</t>
  </si>
  <si>
    <t>Offline01</t>
  </si>
  <si>
    <t>Offline02</t>
  </si>
  <si>
    <t>Other01</t>
  </si>
  <si>
    <t>Other02</t>
  </si>
  <si>
    <t>Other03</t>
  </si>
  <si>
    <t>Select01</t>
  </si>
  <si>
    <t>Select02</t>
  </si>
  <si>
    <t>Select03</t>
  </si>
  <si>
    <t>Select04</t>
  </si>
  <si>
    <t>Select05</t>
  </si>
  <si>
    <t>Select06</t>
  </si>
  <si>
    <t>Select08</t>
  </si>
  <si>
    <t>Select09</t>
  </si>
  <si>
    <t>Select10</t>
  </si>
  <si>
    <t>Select11</t>
  </si>
  <si>
    <t>Select13</t>
  </si>
  <si>
    <t>Select14</t>
  </si>
  <si>
    <t>Select15</t>
  </si>
  <si>
    <t>Select16</t>
  </si>
  <si>
    <t>Select17</t>
  </si>
  <si>
    <t>Select18</t>
  </si>
  <si>
    <t>Select18a</t>
  </si>
  <si>
    <t>Select19</t>
  </si>
  <si>
    <t>Select20</t>
  </si>
  <si>
    <t>Select20a</t>
  </si>
  <si>
    <t>Select21</t>
  </si>
  <si>
    <t>Select22</t>
  </si>
  <si>
    <t>Select23</t>
  </si>
  <si>
    <t>Select25</t>
  </si>
  <si>
    <t>Select36</t>
  </si>
  <si>
    <t>Select37</t>
  </si>
  <si>
    <t>Select38</t>
  </si>
  <si>
    <t>Interac</t>
  </si>
  <si>
    <t>MasterCard</t>
  </si>
  <si>
    <t>ADVT 3A.1</t>
  </si>
  <si>
    <t>Start</t>
  </si>
  <si>
    <t>Today</t>
  </si>
  <si>
    <t>Days Spent</t>
  </si>
  <si>
    <t>Days Remaining</t>
  </si>
  <si>
    <t>AXP EP003</t>
  </si>
  <si>
    <t>AXP EP004</t>
  </si>
  <si>
    <t>AXP EP005</t>
  </si>
  <si>
    <t>AXP EP006</t>
  </si>
  <si>
    <t>AXP EP008</t>
  </si>
  <si>
    <t>AXP EP010</t>
  </si>
  <si>
    <t>AXP EP011</t>
  </si>
  <si>
    <t>AXP EP012</t>
  </si>
  <si>
    <t>AXP EP013</t>
  </si>
  <si>
    <t>AXP EP014</t>
  </si>
  <si>
    <t>AXP EP015</t>
  </si>
  <si>
    <t>AXP EP016</t>
  </si>
  <si>
    <t>AXP EP017</t>
  </si>
  <si>
    <t>AXP EP018</t>
  </si>
  <si>
    <t>AXP EP019</t>
  </si>
  <si>
    <t>AXP EP020</t>
  </si>
  <si>
    <t>AXP EP021</t>
  </si>
  <si>
    <t>AXP EP023</t>
  </si>
  <si>
    <t>AXP EP033</t>
  </si>
  <si>
    <t>AXP EP035</t>
  </si>
  <si>
    <t>AXP EMV 001 - Offline Enciphered PIN DDA</t>
  </si>
  <si>
    <t>AXP EMV 002 - Signature</t>
  </si>
  <si>
    <t>AXP EMV 005 - Multiple Script Update</t>
  </si>
  <si>
    <t>AXP EMV 017.2 - Magstripe Fallback Empty Candidate List</t>
  </si>
  <si>
    <t>AXP EMV 032 - Online PIN Successful PIN</t>
  </si>
  <si>
    <t>AXP EMV 037 - Online PIN Bypass</t>
  </si>
  <si>
    <t>AXP MAG 002 - Magstripe ISO</t>
  </si>
  <si>
    <t>UL Review</t>
  </si>
  <si>
    <t>E2E CL 02</t>
  </si>
  <si>
    <t>E2E CL 03</t>
  </si>
  <si>
    <t>E2E CL 04</t>
  </si>
  <si>
    <t>E2E CL 05</t>
  </si>
  <si>
    <t>E2E CL 07</t>
  </si>
  <si>
    <t>E2E CL 08</t>
  </si>
  <si>
    <t>E2E CL 10</t>
  </si>
  <si>
    <t>E2E CL 11</t>
  </si>
  <si>
    <t>E2E CL 12</t>
  </si>
  <si>
    <t>E2E CL 14</t>
  </si>
  <si>
    <t>E2E CL 16</t>
  </si>
  <si>
    <t>E2E CL 17</t>
  </si>
  <si>
    <t>E2E CL 18</t>
  </si>
  <si>
    <t>E2E CL 19</t>
  </si>
  <si>
    <t>E2E CL 24</t>
  </si>
  <si>
    <t>E2E CL 31</t>
  </si>
  <si>
    <t>E2E CL 32</t>
  </si>
  <si>
    <t>Test Case 01</t>
  </si>
  <si>
    <t>Test Case 02</t>
  </si>
  <si>
    <t>Test Case 03</t>
  </si>
  <si>
    <t>Test Case 04</t>
  </si>
  <si>
    <t>Test Case 06</t>
  </si>
  <si>
    <t>Test Case 07</t>
  </si>
  <si>
    <t>Test Case 09</t>
  </si>
  <si>
    <t>Test Case 10</t>
  </si>
  <si>
    <t>Test Case 11</t>
  </si>
  <si>
    <t>Test Case 12</t>
  </si>
  <si>
    <t xml:space="preserve">General Info: </t>
  </si>
  <si>
    <t>Client Name</t>
  </si>
  <si>
    <t>CertPro ID</t>
  </si>
  <si>
    <t>Current Step</t>
  </si>
  <si>
    <t>Interface to be Certified</t>
  </si>
  <si>
    <t>Transaction Type</t>
  </si>
  <si>
    <t>PwP ID/ Cert ID</t>
  </si>
  <si>
    <t>Step 1 - EMV Onboarding</t>
  </si>
  <si>
    <t>Step 2 - EMV Setup</t>
  </si>
  <si>
    <t>Step 3 - Test Execution</t>
  </si>
  <si>
    <t>Step 4 - Pre-Validation</t>
  </si>
  <si>
    <t>Step 5 - Validation</t>
  </si>
  <si>
    <t>Step 6 - Approval</t>
  </si>
  <si>
    <t>Contact Only</t>
  </si>
  <si>
    <t>Contactless Only</t>
  </si>
  <si>
    <t>Contact + Contactless</t>
  </si>
  <si>
    <t>Debit Only</t>
  </si>
  <si>
    <t>Credit Only</t>
  </si>
  <si>
    <t>Credit + Debit</t>
  </si>
  <si>
    <t xml:space="preserve">Key Actors: </t>
  </si>
  <si>
    <t>FD Cert Analyst</t>
  </si>
  <si>
    <t>FD Relationship Manager</t>
  </si>
  <si>
    <t>UL Cert Analyst</t>
  </si>
  <si>
    <t>Name</t>
  </si>
  <si>
    <t xml:space="preserve">Project Planning: </t>
  </si>
  <si>
    <t>Kick-Off Meeting Date</t>
  </si>
  <si>
    <t>Target Completion Date</t>
  </si>
  <si>
    <t>Actual Completion Date</t>
  </si>
  <si>
    <t>UL Holidays</t>
  </si>
  <si>
    <t>New Year's Day</t>
  </si>
  <si>
    <t>MLK Day</t>
  </si>
  <si>
    <t>Memorial Day</t>
  </si>
  <si>
    <t>Independence Day</t>
  </si>
  <si>
    <t>Labor Day</t>
  </si>
  <si>
    <t>Thanksgiving Day</t>
  </si>
  <si>
    <t>Day after Thanksgiving</t>
  </si>
  <si>
    <t>Christmas Eve</t>
  </si>
  <si>
    <t>Chrstmas Day</t>
  </si>
  <si>
    <t xml:space="preserve">Certification Scope: </t>
  </si>
  <si>
    <t>Test Plan</t>
  </si>
  <si>
    <t>Included?</t>
  </si>
  <si>
    <t>Certification Progress Report</t>
  </si>
  <si>
    <t>v1.0</t>
  </si>
  <si>
    <t>First Data Superset</t>
  </si>
  <si>
    <t>Visa Contact</t>
  </si>
  <si>
    <t>Visa Contactless</t>
  </si>
  <si>
    <t>Visa US Debit</t>
  </si>
  <si>
    <t xml:space="preserve">American Express Contact </t>
  </si>
  <si>
    <t xml:space="preserve">American Express Contactless </t>
  </si>
  <si>
    <t xml:space="preserve">American Express Quick Chip </t>
  </si>
  <si>
    <t xml:space="preserve">Discover Contact </t>
  </si>
  <si>
    <t xml:space="preserve">Discover Contactless </t>
  </si>
  <si>
    <t>Yes or No</t>
  </si>
  <si>
    <t>No</t>
  </si>
  <si>
    <t>Yes</t>
  </si>
  <si>
    <t>Task</t>
  </si>
  <si>
    <t xml:space="preserve">Duration </t>
  </si>
  <si>
    <t>End</t>
  </si>
  <si>
    <t>P1 - EMV Onboarding</t>
  </si>
  <si>
    <t>P2 - EMV Setup</t>
  </si>
  <si>
    <t>P3 - Test Execution</t>
  </si>
  <si>
    <t>P4 - Pre-Validation</t>
  </si>
  <si>
    <t>P5 - Validation</t>
  </si>
  <si>
    <t>P6 - Approval</t>
  </si>
  <si>
    <t>A1 - EMV Onboarding</t>
  </si>
  <si>
    <t>A2 - EMV Setup</t>
  </si>
  <si>
    <t>A3 - Test Execution</t>
  </si>
  <si>
    <t>A4 - Pre-Validation</t>
  </si>
  <si>
    <t>A5 - Validation</t>
  </si>
  <si>
    <t>A6 - Approval</t>
  </si>
  <si>
    <t>Assigned to</t>
  </si>
  <si>
    <t>P - Planned</t>
  </si>
  <si>
    <t>A - Actual</t>
  </si>
  <si>
    <t>Total</t>
  </si>
  <si>
    <t>AXP QC003</t>
  </si>
  <si>
    <t>AXP QC004</t>
  </si>
  <si>
    <t>AXP QC005</t>
  </si>
  <si>
    <t>AXP QC006</t>
  </si>
  <si>
    <t>AXP QC008</t>
  </si>
  <si>
    <t>AXP QC010</t>
  </si>
  <si>
    <t>AXP QC011</t>
  </si>
  <si>
    <t>AXP QC012</t>
  </si>
  <si>
    <t>AXP QC013</t>
  </si>
  <si>
    <t>AXP QC014</t>
  </si>
  <si>
    <t>AXP QC015</t>
  </si>
  <si>
    <t>AXP QC016</t>
  </si>
  <si>
    <t>AXP QC017</t>
  </si>
  <si>
    <t>AXP QC018</t>
  </si>
  <si>
    <t>AXP QC019</t>
  </si>
  <si>
    <t>AXP QC020</t>
  </si>
  <si>
    <t>AXP QC021</t>
  </si>
  <si>
    <t>AXP QC023</t>
  </si>
  <si>
    <t>AXP QC033</t>
  </si>
  <si>
    <t>AXP QC035</t>
  </si>
  <si>
    <t>Please select…</t>
  </si>
  <si>
    <t>Applicability</t>
  </si>
  <si>
    <t>Fail&amp;Pending</t>
  </si>
  <si>
    <t>Certification Progress Form Help</t>
  </si>
  <si>
    <t>Active Business Days</t>
  </si>
  <si>
    <t>Remaining Business Days</t>
  </si>
  <si>
    <t>** Note: [] Refers to the location of the cell.</t>
  </si>
  <si>
    <t>General</t>
  </si>
  <si>
    <t>[C15-C26]</t>
  </si>
  <si>
    <t>[C9-C12]</t>
  </si>
  <si>
    <t xml:space="preserve">Key Actors: FD Cert Analyst, FD Relationship Manager, UL Cert Analyst, and Client's names will appear in the drop down for "Assigned to" column in enabled test plan tab. </t>
  </si>
  <si>
    <t xml:space="preserve">[C6] </t>
  </si>
  <si>
    <t>It's okay to add tabs to the workbook</t>
  </si>
  <si>
    <t>[G3]</t>
  </si>
  <si>
    <t>Tab --&gt; Overview</t>
  </si>
  <si>
    <t>Tab --&gt; Test Summary</t>
  </si>
  <si>
    <t xml:space="preserve">Certification Scope: If a test plan is included in certification please select "Yes". It will enable the corresponding test plan tab. </t>
  </si>
  <si>
    <t>General Info: Current Step -&gt; "Step 3 - Test Execution" will activate the "Passed test cases VS Active business days" chart in Tab Test Summary</t>
  </si>
  <si>
    <t xml:space="preserve">Project Planning: All target dates are based on the KOM meeting date. </t>
  </si>
  <si>
    <t xml:space="preserve">Only the activated test plans in Certification Scope will show up here. </t>
  </si>
  <si>
    <t>Tab --&gt; Test Plans (AMEX CT, Discover CT, MasterCard, etc)</t>
  </si>
  <si>
    <t>[A1-A4]</t>
  </si>
  <si>
    <t xml:space="preserve">The test results sum-up are automatic. Please do not modify. </t>
  </si>
  <si>
    <t xml:space="preserve">Please make sure that all test cases are included in the test case table. You can do so by dragging the little angle symbol at the bottom right corner. </t>
  </si>
  <si>
    <t>Please copy and paste over the test cases that are applicable for your project from CertPro without format or right click Paste Options --&gt; Match Destination Formatting (M).</t>
  </si>
  <si>
    <t>Please DO NOT modify the first 4 columns (A to D). It's okay to add columns if needed.</t>
  </si>
  <si>
    <t>DO NOT DELETE any existing tab from this workbook.</t>
  </si>
  <si>
    <t>FD Holidays (Addition)</t>
  </si>
  <si>
    <t>President's Day</t>
  </si>
  <si>
    <t>Veterans Day</t>
  </si>
  <si>
    <t>To</t>
  </si>
  <si>
    <t>Sent On</t>
  </si>
  <si>
    <t>Follow-up</t>
  </si>
  <si>
    <t>Resolved?</t>
  </si>
  <si>
    <t>Question</t>
  </si>
  <si>
    <t>Brand</t>
  </si>
  <si>
    <t>Check</t>
  </si>
  <si>
    <t>Affected Test Cases</t>
  </si>
  <si>
    <t>Status</t>
  </si>
  <si>
    <t>AXP EMV 022</t>
  </si>
  <si>
    <t>AXP EMV 023</t>
  </si>
  <si>
    <t>AXP EMV 029</t>
  </si>
  <si>
    <t>AXP EMV 037</t>
  </si>
  <si>
    <t>All</t>
  </si>
  <si>
    <t>MTIP50 (all)</t>
  </si>
  <si>
    <t>MTIP51 (all)</t>
  </si>
  <si>
    <t>Mastercard Contactless</t>
  </si>
  <si>
    <t>UM94.1.1</t>
  </si>
  <si>
    <t>Required Receipt Data</t>
  </si>
  <si>
    <t>Field</t>
  </si>
  <si>
    <t>Where found</t>
  </si>
  <si>
    <t>Description</t>
  </si>
  <si>
    <t>Condition</t>
  </si>
  <si>
    <t>Present?</t>
  </si>
  <si>
    <t>MID/TID</t>
  </si>
  <si>
    <t>Set in terminal</t>
  </si>
  <si>
    <t>MID and TID must be displayed and masked to only show the last four digits.</t>
  </si>
  <si>
    <t>Always required</t>
  </si>
  <si>
    <t>Transaction_Amount</t>
  </si>
  <si>
    <t>9F02</t>
  </si>
  <si>
    <t>Transaction amount must be printed as total.</t>
  </si>
  <si>
    <t>Currency must be indicated by $USD, USD$, or $</t>
  </si>
  <si>
    <t>Application_Name</t>
  </si>
  <si>
    <t>9F12 (if available)
50</t>
  </si>
  <si>
    <t>Application name (or label) must be printed on the receipt exactly as written in tag 9F12, or if 9F12 is not available, in tag 50.</t>
  </si>
  <si>
    <t>Payment_Network</t>
  </si>
  <si>
    <t>Front end response</t>
  </si>
  <si>
    <t>Network used for routing must be printed for USC AID receipts.
  -ISO: Found in DE 63, Table SD, Tag NL
  -RC: 
  -Omaha:</t>
  </si>
  <si>
    <t>Only USC AID</t>
  </si>
  <si>
    <t>PAN</t>
  </si>
  <si>
    <t>5A</t>
  </si>
  <si>
    <t>Application PAN must be printed as written in tag 5A.</t>
  </si>
  <si>
    <t>PAN must be truncated to remove trailing characters.</t>
  </si>
  <si>
    <t>PAN must be masked.</t>
  </si>
  <si>
    <t>AID</t>
  </si>
  <si>
    <t>84 (also found in 4F, 9F06)</t>
  </si>
  <si>
    <t>The entire AID must be printed as provided by the card.</t>
  </si>
  <si>
    <t>Card_Entry_Method</t>
  </si>
  <si>
    <t>Coded from POS entry mode</t>
  </si>
  <si>
    <t>Indicates how the card was read:
  -Chip Read
  -Contactless
  -Fswipe
  -Keyed
  -Swiped</t>
  </si>
  <si>
    <t>CVM</t>
  </si>
  <si>
    <t>9F34, 9F6C (Visa contactless), 9F71 (Discover contactless)</t>
  </si>
  <si>
    <t>CVM performed is required to be printed:
  -"Verified by PIN" if PIN is performed
  -"PIN Bypassed" if PIN is bypassed
  -Signature line if signature required
  -NoCVM: Nothing required to be printed</t>
  </si>
  <si>
    <t>Authorization_Mode</t>
  </si>
  <si>
    <t>The mode used to authorize must be printed.
  -"Card" if transaction was offline declined/epproved offline
  -"Issuer" if transaction was sent online.</t>
  </si>
  <si>
    <t>TVR_ARC_TSI_IAD</t>
  </si>
  <si>
    <t>95, 8A, 9B, 9F10</t>
  </si>
  <si>
    <t>These tags are expected to be printed. They are required for declined transactions, highly recommended for approvals.</t>
  </si>
  <si>
    <t>Required for declines
Recommended for approvals</t>
  </si>
  <si>
    <t>Receipt failures:</t>
  </si>
  <si>
    <t>Required EMV Tags</t>
  </si>
  <si>
    <t>Tag</t>
  </si>
  <si>
    <t>Tag Name</t>
  </si>
  <si>
    <t>Set By</t>
  </si>
  <si>
    <t>Card log location</t>
  </si>
  <si>
    <t>Validations</t>
  </si>
  <si>
    <t>4F</t>
  </si>
  <si>
    <t>Optional</t>
  </si>
  <si>
    <t>Card</t>
  </si>
  <si>
    <t>NA</t>
  </si>
  <si>
    <t>AIP</t>
  </si>
  <si>
    <t>Always</t>
  </si>
  <si>
    <t>GPO response</t>
  </si>
  <si>
    <t>SELECT response</t>
  </si>
  <si>
    <t>TVR</t>
  </si>
  <si>
    <t>Terminal</t>
  </si>
  <si>
    <t>1st Gen AC Command</t>
  </si>
  <si>
    <t>Verify value is correct for transaction</t>
  </si>
  <si>
    <t>9A</t>
  </si>
  <si>
    <t>Transaction Date</t>
  </si>
  <si>
    <t>9C</t>
  </si>
  <si>
    <t>5F24</t>
  </si>
  <si>
    <t>Application Expiration Date</t>
  </si>
  <si>
    <t>Read Record response</t>
  </si>
  <si>
    <t>5F2A</t>
  </si>
  <si>
    <t>Transaction Currency Code</t>
  </si>
  <si>
    <t>Should be 0840 if USD</t>
  </si>
  <si>
    <t>5F30</t>
  </si>
  <si>
    <t>Service Code</t>
  </si>
  <si>
    <t>5F34</t>
  </si>
  <si>
    <t>PAN Sequence Number</t>
  </si>
  <si>
    <t>Only if sent by card</t>
  </si>
  <si>
    <t>Verify DE23 matches 5F34 value</t>
  </si>
  <si>
    <t>Transaction Amount</t>
  </si>
  <si>
    <t>9F03</t>
  </si>
  <si>
    <t>Additional Amount</t>
  </si>
  <si>
    <t>9F06</t>
  </si>
  <si>
    <t>9F07</t>
  </si>
  <si>
    <t>AUC</t>
  </si>
  <si>
    <t>9F09</t>
  </si>
  <si>
    <t>Application Version Number</t>
  </si>
  <si>
    <t>Will match 9F08 in Read Record Command. If incorrct, will cause TVR B2b8 to be 1.
     -Discover and Amex: 00 01
     -JCB: 02 00
     -Mastercard: 00 02
     -Visa: 00 8C or 00 96</t>
  </si>
  <si>
    <t>9F10</t>
  </si>
  <si>
    <t>Issuer Application Data</t>
  </si>
  <si>
    <t>1st Gen AC Response</t>
  </si>
  <si>
    <t>9F1A</t>
  </si>
  <si>
    <t>Terminal Country Code</t>
  </si>
  <si>
    <t xml:space="preserve">9F1E </t>
  </si>
  <si>
    <t>IFD Serial Number</t>
  </si>
  <si>
    <t>Recommended</t>
  </si>
  <si>
    <t>9F26</t>
  </si>
  <si>
    <t>Application Cryptogram</t>
  </si>
  <si>
    <t>9F27</t>
  </si>
  <si>
    <t>Cryptogram Information Data</t>
  </si>
  <si>
    <t>Will always be 80 if online transaction</t>
  </si>
  <si>
    <t>9F33</t>
  </si>
  <si>
    <t>Terminal Capabilities</t>
  </si>
  <si>
    <t>Always (optional in Discover and Visa cntls)</t>
  </si>
  <si>
    <t>Must match Kernel Config in L2 for contact, remove offline PIN support for cntls. See Tag References for more details for Mastercard contactless.</t>
  </si>
  <si>
    <t>9F34</t>
  </si>
  <si>
    <t>CVM Results</t>
  </si>
  <si>
    <t>Must match CVM performed  (not required in Visa contactless)</t>
  </si>
  <si>
    <t>9F35</t>
  </si>
  <si>
    <t>Terminal Type</t>
  </si>
  <si>
    <t>Must match Kernel Config in L2</t>
  </si>
  <si>
    <t>9F36</t>
  </si>
  <si>
    <t>Application Transaction Counter</t>
  </si>
  <si>
    <t>9F37</t>
  </si>
  <si>
    <t>Unpredictable Number</t>
  </si>
  <si>
    <t>9F39</t>
  </si>
  <si>
    <t>POS Entry Mode</t>
  </si>
  <si>
    <t>9F41</t>
  </si>
  <si>
    <t>Transaction Sequence Counter</t>
  </si>
  <si>
    <t>9F53</t>
  </si>
  <si>
    <t>Transaction Category Code</t>
  </si>
  <si>
    <t>Mastercard and Visa only</t>
  </si>
  <si>
    <t>MC-Always</t>
  </si>
  <si>
    <t>Visa- Only if sent by card</t>
  </si>
  <si>
    <t>9F6E</t>
  </si>
  <si>
    <t>Third Party Data</t>
  </si>
  <si>
    <t>Visa and MC Cntls Only</t>
  </si>
  <si>
    <t>Only if sent by card (Visa)</t>
  </si>
  <si>
    <t>Read Record Command</t>
  </si>
  <si>
    <r>
      <t xml:space="preserve">Only if sent by the card </t>
    </r>
    <r>
      <rPr>
        <b/>
        <sz val="11"/>
        <color theme="1"/>
        <rFont val="Calibri"/>
        <family val="2"/>
        <scheme val="minor"/>
      </rPr>
      <t>and</t>
    </r>
    <r>
      <rPr>
        <sz val="11"/>
        <color theme="1"/>
        <rFont val="Calibri"/>
        <family val="2"/>
        <scheme val="minor"/>
      </rPr>
      <t xml:space="preserve"> Device Type field in byte 3 bit 8=0 (MC)</t>
    </r>
  </si>
  <si>
    <t>Also verify that DE48 SE23 shows the correct Device Type. If tag not present, verify DE48 SE23 is not present</t>
  </si>
  <si>
    <t>Missing Tags:</t>
  </si>
  <si>
    <t>Tag Reference for Common Issues</t>
  </si>
  <si>
    <t>Rule Qualifier</t>
  </si>
  <si>
    <t>Details</t>
  </si>
  <si>
    <t>Contact Transactions</t>
  </si>
  <si>
    <t xml:space="preserve">The tag should be the same in all contact transactions regardless of AID. Byte 1 should show the entry methods supported, Byte 2 shows the CVMs supported, and Byte 3 shows the ODA methods supported. All must match your L2 Kernel Configuration. </t>
  </si>
  <si>
    <t>Contactless Transactions</t>
  </si>
  <si>
    <t>The tag will be modified for contactless support. In all brands, the Byte 1 value will remain the same as in contact. In all brands, Byte 2 will not indicate Offline PIN (exception for Plaintext PIN B2b8 for Amex contactless if CDCVM is supported). In Mastercard contactless, the tag will change based on the AID and transaction amount. Rules are as follows:
       - If the transaction amount is above the CVM limit, the byte 2 value will indicate all CVM supported (excluding NoCVM).
            - Maestro and USM only support Online PIN, so the value will be 40
            - MC supports Online PIN and Signature, so the value will be 60
       - If the transaction amount is below the CVM limit, the byte 2 value will indicate only NoCVM
            - Maestro has a $0 floor limit and so doesn't support NoCVM. You will never have a transaction below the floor limit.
            - USM and MC will have this for any transaction below the CVM limit. Value should be 08.
In Mastercard contactless, byte 3 should be 08.</t>
  </si>
  <si>
    <t>9F66</t>
  </si>
  <si>
    <t>Visa and Discover Contactless</t>
  </si>
  <si>
    <t>9F1D</t>
  </si>
  <si>
    <t>This tag is used for risk management and should be set up to show CVM and transaction type support. Bytes 4-8 are all set to 00s. Bytes 1-3 are set to a value dependant on the AID.</t>
  </si>
  <si>
    <t>Mastercard AID</t>
  </si>
  <si>
    <t>USM AID</t>
  </si>
  <si>
    <t>Maestro AID</t>
  </si>
  <si>
    <t>If sent by Card</t>
  </si>
  <si>
    <t>Verify the correct format: no spaces or special characters, length 8 bytes, alphabetic characters in all capitals</t>
  </si>
  <si>
    <t>Always, not required for Visa/Discover cntls</t>
  </si>
  <si>
    <t>The tag replaces the 9F33 tag in Visa and Discover contactless. Bytes 1, 3, and 4 are static. The values should show support based on the L2 Kernel Configuration, as well as project specific support. Ensure the value of these bits is always the same. Byte 2 will be dynamic based on the transaction amount, adhering to the below rules:
       - Bit 8 will change if you support a positive floor limit. If floor limit is $0, it will always be 1.
            - If transaction amount is above the floor limit, value is 1.
            - If transaction amount is below the floor limit, value is 0.
       - Bit 7 will change if you support a positive CVM limit. If CVM limit is $0, it will always be 1.
            - If transaction amount is above the CVM limit, value is 1.
            - If transaction amount is below the CVM limit, value is 0.
       - Bits 6-1 are static. Bit 6 indicates if offline PIN is supported in contact transactions, bits 5-1 are always set to 0.
            -Visa requires B2b6=0 no matter contact CVM support. Discover asks that it be set to 1 if offline PIN is supported in contact.
*Visa requires B1b8=0 so MSD is not supported.</t>
  </si>
  <si>
    <t>USM AID (A0000000042203) will have a value as follows:
            - Byte 1: Will show contactless CVM capabilites. If all CVM are supported, this byte value is 48.
                - Bits 8 and 1 should always be 0. 
                - Bits 7-2 show the contactless CVM capabilities. Offline PIN is not supported in MC contactless so bits 5 and 2 are 0. Signature and CDCVM not supported in USM so bits 6 and 3 are 0.
            - Byte 2: Will show the contact CVM capabilities. If all CVM are supported, this byte value is 78.
                - Bits 8 and 1 should always be 0.
                - Bits 7-2 show the contact CVM capabilities and so match the kernel configuration. As a note, CDCVM is not supported in contact.
            - Byte 3: Will show tranaction type support. If both EMV and Magstripe are supported, value will be 80.
                - Bits 6-1 shoule always be 0.
                - Bit 8 indicates if contactless magstripe is supported (Supported will have a value of 0). USM does not allow contactless magstripe.
                - Bit 7 indicates if contactless EMV is supported (Supported will have a value of 0)</t>
  </si>
  <si>
    <t>Mastercard AID (A0000000041010) will have a value as follows:
         - Byte 1: Will show contactless CVM capabilites. If all CVM are supported, this byte value is 6C.
                - Bits 8 and 1 should always be 0. 
                - Bits 7-2 show the contactless CVM capabilities. As a note, offline PIN is not supported in MC contactless so bits 5 and 2 should always be 0.
         - Byte 2: Will show the contact CVM capabilities. If all CVM are supported, this byte value is 78.
                - Bits 8 and 1 should always be 0.
                - Bits 7-2 show the contact CVM capabilities and so match the kernel configuration. As a note, CDCVM is not supported in contact.
         - Byte 3: Will show tranaction type support. If both EMV and Magstripe are supported, value will be 00.
                - Bits 6-1 should always be 0.
                - Bit 8 indicates if contactless magstripe is supported (Supported will have a value of 0)
                - Bit 7 indicates if contactless EMV is supported (Supported will have a value of 0)</t>
  </si>
  <si>
    <t>Maestro AID (A0000000043060) will have a value as follows:
      - Byte 1: Will show contactless CVM capabilites. If all CVM are supported, this byte value is 44.
                - Bits 8 and 1 should always be 0. 
                - Bits 7-2 show the contactless CVM capabilities. Offline PIN is not supported in MC contactless so bits 5 and 2 are 0. Signature and NoCVM not supported in Maestro so bits 6 and 4 are 0.
      - Byte 2: Will show the contact CVM capabilities. If all CVM are supported, this byte value is 78.
                - Bits 8 and 1 should always be 0.
                - Bits 7-2 show the contact CVM capabilities and so match the kernel configuration. As a note, CDCVM is not supported in contact.
      - Byte 3: Will show tranaction type support. If both EMV and Magstripe are supported, value will be 80.
                - Bits 6-1 shoule always be 0.
                - Bit 8 indicates if contactless magstripe is supported (Supported will have a value of 0). Maestro does not allow contactless magstripe.
                - Bit 7 indicates if contactless EMV is supported (Supported will have a value of 0)</t>
  </si>
  <si>
    <t>Vsecure</t>
  </si>
  <si>
    <t>028652</t>
  </si>
  <si>
    <t>Kris T</t>
  </si>
  <si>
    <t>Suman S</t>
  </si>
  <si>
    <t>Kirstyn R</t>
  </si>
  <si>
    <t>CDET 1C.1</t>
  </si>
  <si>
    <t>CDET 1C.3</t>
  </si>
  <si>
    <t>CDET 1C.4</t>
  </si>
  <si>
    <t>CDET 2C.1</t>
  </si>
  <si>
    <t>Follow Up</t>
  </si>
  <si>
    <t>Demetri V</t>
  </si>
  <si>
    <t>Test cases should have the Visa US Common AID within the candidate list, but is not present. Can you confirm that your terminal configuration supports Visa US Common (A0 00 00 00 98 08 40)?</t>
  </si>
  <si>
    <t>Client</t>
  </si>
  <si>
    <t>Missing tag 9F06 (AID), required by FD.</t>
  </si>
  <si>
    <t>9F33 byte 2 set incorrectly. F8 indicates All CVMs (including NoCVM are supported, but L2 kernel configuration indicates NoCVM is not supported. Tag value must be changed to 60F0C8 to show NoCVM is not supported.</t>
  </si>
  <si>
    <t>Combo11.Test.11.Scenario.01</t>
  </si>
  <si>
    <t>Combo21.Test.02.Scenario.01</t>
  </si>
  <si>
    <t>Combo23.Test.01.Scenario.01</t>
  </si>
  <si>
    <t>M-TIP03-USM.Test.01.Scenario.02</t>
  </si>
  <si>
    <t>M-TIP05-USM.Test.01.Scenario.01</t>
  </si>
  <si>
    <t>M-TIP05-USM.Test.04.Scenario.01</t>
  </si>
  <si>
    <t>M-TIP05-USM.Test.05.Scenario.01</t>
  </si>
  <si>
    <t>M-TIP05-USM.Test.06.Scenario.01</t>
  </si>
  <si>
    <t>M-TIP06.Test.13.Scenario.01</t>
  </si>
  <si>
    <t>M-TIP12-USM.Test.01.Scenario.01</t>
  </si>
  <si>
    <t>M-TIP12-USM.Test.01.Scenario.02</t>
  </si>
  <si>
    <t>M-TIP13-USM.Test.01.Scenario.01</t>
  </si>
  <si>
    <t>M-TIP24.Test.01.Scenario.01</t>
  </si>
  <si>
    <t>M-TIP51.Test.01.Scenario.02</t>
  </si>
  <si>
    <t>M-TIP51.Test.02.Scenario.02</t>
  </si>
  <si>
    <t>MCC.351.Test.01.Scenario.05</t>
  </si>
  <si>
    <t>MP01.Test.01c.Scenario.01</t>
  </si>
  <si>
    <t>MP01.Test.04.Scenario.01</t>
  </si>
  <si>
    <t>MP11.Test.06.Scenario.01</t>
  </si>
  <si>
    <t>MP12.Test.03.Scenario.01</t>
  </si>
  <si>
    <t>MP13.Test.01b.Scenario.01</t>
  </si>
  <si>
    <t>MP16.Test.03.Scenario.01</t>
  </si>
  <si>
    <t>MP16.Test.03b.Scenario.01</t>
  </si>
  <si>
    <t>MP17.Test.01.Scenario.01e</t>
  </si>
  <si>
    <t>MP19.Test.01.Scenario.01</t>
  </si>
  <si>
    <t>MP4A.Test.02.Scenario.01</t>
  </si>
  <si>
    <t>MP50.Test.01.Scenario.01</t>
  </si>
  <si>
    <t>MP92.Test.01.Scenario.01</t>
  </si>
  <si>
    <t>MP93.Test.01.Scenario.01</t>
  </si>
  <si>
    <t>PPC.MAP.03.Test.01.Scenario.01</t>
  </si>
  <si>
    <t>PPC.MAP.06.Test.03.Scenario.01</t>
  </si>
  <si>
    <t>PPC.MAP.07.Test.09.Scenario.01</t>
  </si>
  <si>
    <t>PPC.MCD.01.Test.04.Scenario.01</t>
  </si>
  <si>
    <t>PPC.MCD.02.Test.01.Scenario.02e</t>
  </si>
  <si>
    <t>PPC.MCD.03.Test.06.Scenario.01</t>
  </si>
  <si>
    <t>PPC.MCD.03.Test.09.Scenario.01</t>
  </si>
  <si>
    <t>PPC.MCD.12.Test.02.Scenario.01</t>
  </si>
  <si>
    <t>UM15.Test.01.Scenario.01</t>
  </si>
  <si>
    <t>UM16.Test.01.Scenario.01</t>
  </si>
  <si>
    <t>UM18.Test.02.Scenario.01</t>
  </si>
  <si>
    <t>UM72.Test.02.Scenario.02</t>
  </si>
  <si>
    <t>UM91.Test.03.Scenario.01</t>
  </si>
  <si>
    <t>UM92.Test.01.Scenario.01</t>
  </si>
  <si>
    <t>UM94.Test.02.Scenario.01</t>
  </si>
  <si>
    <t>Test Case 01 (b)</t>
  </si>
  <si>
    <t>Test Case 15</t>
  </si>
  <si>
    <t>Test Case 16</t>
  </si>
  <si>
    <t>Test Case 17</t>
  </si>
  <si>
    <t>Test Case 21</t>
  </si>
  <si>
    <t>Test Case 23</t>
  </si>
  <si>
    <t>Test Case 24a</t>
  </si>
  <si>
    <t>Test Case 24b</t>
  </si>
  <si>
    <t>Test Case 05</t>
  </si>
  <si>
    <t>All Visa</t>
  </si>
  <si>
    <t>TSI missing from User Validations, please include the value you receive from tag 9B. This is required to be present on decline receipts and recommended to be on approval receipts.</t>
  </si>
  <si>
    <t>ADVT Test Case 01a</t>
  </si>
  <si>
    <t>User validation indicates transaction completed normally, but no cryptogram is shown in CertPro. Can you send the card log so I can verify the host log is present in CertPro?</t>
  </si>
  <si>
    <t xml:space="preserve">Transaction ends after Verify PIN command. Can you explain what happened? </t>
  </si>
  <si>
    <t>ADVT 1A.1
ADVT 2A.1</t>
  </si>
  <si>
    <t>ADVT 1A.1
ADVT 1A.4
ADVT 2A.1</t>
  </si>
  <si>
    <t>4/13: resolved</t>
  </si>
  <si>
    <t>First Data requires one of two AID selection processing methods to be supported: either Auto Debit Selection or Candidate List Filtering. 
  -If Auto Debit Selection is supported any transaction in which the candidate list contains a US Common AID (Visa USC, USMaestro, or Discover USC), the terminal will automatically select the US Common AID without cardholder selection. 
  -If Candidate List Filtering is supported, the terminal will compare all available AIDs in the Candidate List for matching values in tags 5F55 and 42. If these tag values match, the terminal prioritizes the US Common AID and throws out the other AID. If any AIDs remain without matching 5F55 and 42, the terminal allows cardholder selection.
Please ensure one of these AID selection methods is enabled and let me know which, I will ensure it is correct in the intake forms and test plan setup. 
ADVT 1A.1 should select the US Common AID for both Auto Debit Selection and Candidate List Filtering (CLF: there should be two AIDs available in the candidate list- one Visa Cerdit and one US Common. They have the same 5F55 and 42 tag values, so the terminal should prioritize the US Common AID. No other AIDs are available so the terminal automatically chooses this AID).
For this ADVT 2A.1, Auto Debit Selection should choose the US Common AID, and Candidate List Filtering will allow the selection between one US Common AID and one Visa Credit (if you see two Visa Credit AIDs CLF processing is not correctly enabled).</t>
  </si>
  <si>
    <t>4/13: Resolved</t>
  </si>
  <si>
    <t>The host sends a valid Tag 91 value in the response, but card log shows that terminal is sending tag 91 as all 00s to the card (2nd Gen AC command). This leads to the card declining the transaction because it believes issuer authentication fails. Ensure you send tag 91 to the card exactly as it is received from the host.</t>
  </si>
  <si>
    <t>All Visa and Discover</t>
  </si>
  <si>
    <t>Online PIN is requested (9F34 is 420000 or 020000), but PIN group is not sent to host for validation.</t>
  </si>
  <si>
    <t>4/16: Passing (Missing tag 9F06)
4/13: Please confirm if you were given selection between 2 AIDs (one credit one US debit) or 3 AIDs (one US debit, two credit). If 3 AIDs are given for selection, candidate list filtering is not working as expected. Missing tag 9F06.
4/11: This test case can select the Visa Credit AID (as it is doing), but the US Common AID should be available. It is not present in the card log, please confirm it is supported. First Data requires one of two AID selection processing methods to be supported: either Auto Debit Selection or Candidate List Filtering. If Auto Debit Selection is supported any transaction in which the candidate list contains a US Common AID (Visa USC, USMaestro, or Discover USC), the terminal will automatically select the US Common AID without cardholder selection. If Candidate List Filtering is supported, the terminal will compare all available AIDs in the Candidate List for matching values in tags 5F55 and 42. If these tag values match, the terminal prioritizes the US Common AID and throws out the other AID. If any AIDs remain without matching 5F55 and 42, the terminal allows cardholder selection. Please ensure one of these AID selection methods is enabled and let me know which, I will ensure it is correct in the intake forms and test plan setup. For this test case, Auto Debit Selection should choose the US Common AID, and Candidate List Filtering will allow the selection between one US Common AID and one Visa Credit (if you see two Visa Credit AIDs CLF processing is not correctly enabled). Missing tag 9F06. 9F33 byte 2 set incorrectly.</t>
  </si>
  <si>
    <t>4/16: Resolved</t>
  </si>
  <si>
    <t>Test Case 12
Test Case 15</t>
  </si>
  <si>
    <t>4/16: Passing (Missing 9F06), Missing receipt
4/12: Transaction ends after Verify PIN command. Can you explain what happened? Missing receipt.</t>
  </si>
  <si>
    <t>4/16: Passing (Missing 9F06)
4/12: Transaction ends after Verify PIN command. Can you explain what happened? Missing receipt. TSI missing, please include the value you receive from tag 9B. This is required to be present on decline receipts and recommended to be on approval receipts.</t>
  </si>
  <si>
    <t>Card log indicates that the communication ended at the Select command, Interlink AID is not prompted and transaction does not complete. Confirm if Interlink AID is supported.</t>
  </si>
  <si>
    <t>E2E 13</t>
  </si>
  <si>
    <t>E2E 39</t>
  </si>
  <si>
    <t>E2E 58</t>
  </si>
  <si>
    <t>4/16: Resolved and retested in ADVT 1A.1 and 1A.4, E2E 20</t>
  </si>
  <si>
    <t>4/17: Passing</t>
  </si>
  <si>
    <t>Missing host log- please provide auth code and transaction amount for me to search CertPro</t>
  </si>
  <si>
    <t>MTIP12-USM.1.1</t>
  </si>
  <si>
    <t>Missing card log- please upload</t>
  </si>
  <si>
    <t>MTIP51.2.2</t>
  </si>
  <si>
    <t>4/23: Passing</t>
  </si>
  <si>
    <t>All Test cases asking for receipt</t>
  </si>
  <si>
    <t>4/23: Passing, missing receipt</t>
  </si>
  <si>
    <t>PIN Bypass not performed- please confirm if this is supported.</t>
  </si>
  <si>
    <t>External Auth command should be sent to card- if tag 82 B1b3=1 and and tag 91 is returned from the host. I see tag 91 in the host message, but it is not being sent to the card by the terminal in the 2nd Gen AC.</t>
  </si>
  <si>
    <t>AXP EMV 008</t>
  </si>
  <si>
    <t>4/24: Passing
4/23: PIN Bypass not performed- please confirm if this is supported. External Auth command should be sent to card- if tag 82 B1b3=1 and and tag 91 is returned from the host. I see tag 91 in the host message, but it is not being sent to the card by the terminal in the 2nd Gen AC.</t>
  </si>
  <si>
    <t>4/24: Passing</t>
  </si>
  <si>
    <t>4/24: Passing with waiver</t>
  </si>
  <si>
    <t>4/24: Resolved</t>
  </si>
  <si>
    <t>Transaction sent online. Ensure you disconnect the terminal from online capabilities to ensure the transaction is not able to be sent online.</t>
  </si>
  <si>
    <t>AXP EMV 015</t>
  </si>
  <si>
    <t>Host sends a decline in &lt;RespGrp&gt;, but 2nd Gen AC shows tag 8A with 30 30 for approval. When &lt;EMVGrp&gt; is not returned from the host, the terminal must use the &lt;RespCode&gt; tag to determine the value of 8A- 3030 for a 000 approval, 3035 for a 100 decline.</t>
  </si>
  <si>
    <t>MTIP2.1.4
MTIP2.1.5
MTIP4.1.1
AXP MAG 001
AXP MAG 002
Test Case 08</t>
  </si>
  <si>
    <t>4/13: Test Case 01(b) resolved, others still outstanding
4/16: Test Case 16 resolved.</t>
  </si>
  <si>
    <r>
      <rPr>
        <strike/>
        <sz val="11"/>
        <color theme="0" tint="-0.34998626667073579"/>
        <rFont val="Calibri"/>
        <family val="2"/>
        <scheme val="minor"/>
      </rPr>
      <t>Test Case 1(b)</t>
    </r>
    <r>
      <rPr>
        <sz val="11"/>
        <color theme="0" tint="-0.34998626667073579"/>
        <rFont val="Calibri"/>
        <family val="2"/>
        <scheme val="minor"/>
      </rPr>
      <t xml:space="preserve">
</t>
    </r>
    <r>
      <rPr>
        <strike/>
        <sz val="11"/>
        <color theme="0" tint="-0.34998626667073579"/>
        <rFont val="Calibri"/>
        <family val="2"/>
        <scheme val="minor"/>
      </rPr>
      <t>Test Case 16</t>
    </r>
  </si>
  <si>
    <t>ADVT 1A.4
E2E 20
MTIP13-USM.1.1
MTIP50.1.1
MTIP50.2.1
MTIP51.1.2
AXP EMV 003</t>
  </si>
  <si>
    <t>Receiving format error from host, no EMV data. Sending Maestro AID as credit, must be sent as debit message.</t>
  </si>
  <si>
    <t>4/25: Passing
4/24: Test case cancelled- please rerun</t>
  </si>
  <si>
    <t>4/27: Passing
4/17: Missing host log- please send auth code and amount</t>
  </si>
  <si>
    <t>4/27: Passing
4/24: Missing host log. As this is magstripe no valuable information is present in the card log- can you send Auth code and amount?</t>
  </si>
  <si>
    <t>4/26: Passing
4/13: Same as below. Since this is MSR, can you send the auth code I can try to match to logs in CertPro?
4/12: User validation indicates transaction completed normally, but no cryptogram is shown in CertPro. Can you send the card log so I can verify the host log is present in CertPro? Missing receipt.</t>
  </si>
  <si>
    <t>4/27: Resolved</t>
  </si>
  <si>
    <t>Transaction sent as fallback, not magstripe (POSEntryMode is 80, should be 90). Ensure you do not use BTT probe for this test case, but swipe with plastic test card first.</t>
  </si>
  <si>
    <t>MTIP4.1.1</t>
  </si>
  <si>
    <t>4/30: Resolved</t>
  </si>
  <si>
    <t>All Online PIN test cases sent as &lt;DebitRequest&gt;. Only Global Debit AIDs should be sent as debit. Credit AIDs must be sent as &lt;CreditRequest&gt;, FD recommends all US Common AIDs should be sent as credit as well and they will reroute to debit if PIN is included.</t>
  </si>
  <si>
    <t>4/30: Passing
4/17: Online PIN set as CVM, but no &lt;PINGrp&gt; present</t>
  </si>
  <si>
    <t>5/2: Passing
4/30: Transaction sent as &lt;DebitRequest&gt;, but Discover AID is credit. You will need to send instead as &lt;CreditRequest&gt;.
4/17: &lt;PINGrp&gt; not sent even though online PIN is selected</t>
  </si>
  <si>
    <t>5/2: Passing
4/30: Transaction sent as &lt;DebitRequest&gt;, but MC AID is credit. You will need to send instead as &lt;CreditRequest&gt;.
4/17: Online PIN set as CVM, but no &lt;PINGrp&gt; present</t>
  </si>
  <si>
    <t>5/2: Resolved</t>
  </si>
  <si>
    <t>ADVT 1A.4
E2E 20
MTIP13-USM.1.1
MTIP50.1.1
MTIP50.2.1
AXP EMV 003</t>
  </si>
  <si>
    <t>4/16: Resolved
4/30: Retested Online PIN test cases have issue.
5/2: Resolved</t>
  </si>
  <si>
    <t>5/2: Resolved
4/30: Transaction sent as &lt;DebitRequest&gt;, but Amex AID is credit. You will need to send instead as &lt;CreditRequest&gt;.
4/23: Online PIN selected, but no PINGrp sent in host request</t>
  </si>
  <si>
    <t>Overall Issues</t>
  </si>
  <si>
    <t>5/4: Passing
4/17: Missing card log- please upload</t>
  </si>
  <si>
    <t>Issuer Authentication Failure causing card decline/reversal- tag 9F53 is not sent (req. for MC), and tag 91 value not sent back to the card but sent from the host.</t>
  </si>
  <si>
    <t>MTIP13-USM.1.1
MTIP51.2.1</t>
  </si>
  <si>
    <t>Receipt for Signature transactions shows "Verified by PIN". This text is only allowed if CVM is PIN, Signature CVM should instead have a Signature line.</t>
  </si>
  <si>
    <t>5/8: Passing</t>
  </si>
  <si>
    <t>5/8: Passing- host failures expected and will pass in pre-validation
4/24: Test case cancelled- please rerun</t>
  </si>
  <si>
    <t>5/8: Passing- host failures CertPr validation errors.
5/7: Failing with retest- selecting Visa Credit AID instead of US Common. If Auto Debit Selection or Candidate List filtering were correctly enabled this would not be possible. Receipt shows CVM of signature but text "Verified by PIN" and signature line missing.
4/16: Passing (Missing tag 9F06)
4/13: Using either Auto Debit Selection or Candidate List Filtering, the terminal should always select the Visa US Common AID for this test case without cardholder selection. Missing tag 9F06. 
4/12: Using either Auto Debit Selection or Candidate List Filtering, the terminal should always select the Visa US Common AID for this test case without cardholder selection. US Common AID is not present in the card logs, confirm it is supported and then that the terminal selects the AID automatically. Missing host log</t>
  </si>
  <si>
    <t>5/8: Passing- host failures CertPr validation errors.
5/7: Host log checks for Approval and authentication are failing. I see with manual review that the transaction is online approved, please send card log and RC message for review.
5/2: Passing
4/30: US Common AID sent as &lt;DebtiMessage&gt;, but FD recommends that all US Common is sent as credit and they will reroute to debit if PIN is included.
4/13: Online PIN is requested (9F34 is 420000), but PIN group is not sent to host for validation. Missing tag 9F06.
4/11: Test case should select the Visa US Common AID, but that does not appear to be in the card log you sent. Can you confirm that your terminal configuration supports Visa US Common (A0 00 00 00 98 08 40)? Missing tag 9F06. 9F33 byte 2 set incorrectly.</t>
  </si>
  <si>
    <t>4/13: ADVT 1A.1 still selecting Visa Credit, so neither of the AID selection processes are working as expected.
4/16: AIDs selected as expected
5/7: Retest of ADVT 1A.1 shows Visa Credit selected again, so fix is reverted.
5/8: Resolved again</t>
  </si>
  <si>
    <r>
      <rPr>
        <strike/>
        <sz val="11"/>
        <color theme="0" tint="-0.34998626667073579"/>
        <rFont val="Calibri"/>
        <family val="2"/>
        <scheme val="minor"/>
      </rPr>
      <t>Missing receipt- I will need at least one per brand, including one fallback, one Signature, one PIN bypass. I do see 6 receipts, all PIN, 2 Visa US Common and 4 Discover. These receipts are missing</t>
    </r>
    <r>
      <rPr>
        <sz val="11"/>
        <rFont val="Calibri"/>
        <family val="2"/>
        <scheme val="minor"/>
      </rPr>
      <t xml:space="preserve"> </t>
    </r>
    <r>
      <rPr>
        <strike/>
        <sz val="11"/>
        <color theme="0" tint="-0.34998626667073579"/>
        <rFont val="Calibri"/>
        <family val="2"/>
        <scheme val="minor"/>
      </rPr>
      <t>MID/TID, PAN, and "Verified by PIN" Label (CVM result is listed but FD requires the text as well). US Common receipts are missing Network Label (required for all US Debit transactions, found in RC front end response &lt;RespGrp&gt; in the &lt;AthNtwkNm&gt; tag).</t>
    </r>
  </si>
  <si>
    <t>5/7: PIN Receipts and US debit receipts now passing. Signature failing (see issue #25). Still missing a fallback and a PIN bypass receipt.
5/8: All receipts provided</t>
  </si>
  <si>
    <t>PIN Bypass receipt indicates "Verified by PIN", but should instead indicate "PIN Bypassed"</t>
  </si>
  <si>
    <t>AXP EMV 024</t>
  </si>
  <si>
    <t>5/9: Passing- host failures expected and will pass in pre-validation
4/24: Test case cancelled- please rerun</t>
  </si>
  <si>
    <t>External authenticate command not sent to card from terminal. If tag 82 byte 1 bit 3=1 and tag 91 is returned from host, External Authenticate command must be sent to the card from the terminal. Transaction downgrades and no tag 91 sent from host</t>
  </si>
  <si>
    <t>FD</t>
  </si>
  <si>
    <t>AXP EMV 026
AXP EMV 032
AXP EMV 033</t>
  </si>
  <si>
    <t>5/10: Passing, please send receipt</t>
  </si>
  <si>
    <t>5/10: Passing
5/9: External authenticate command not sent to card from terminal. If tag 82 byte 1 bit 3=1 and tag 91 is returned from host, External Authenticate command must be sent to the card from the terminal. Transaction downgrades and no tag 91 sent from host
4/24: Test case cancelled- please rerun</t>
  </si>
  <si>
    <t>5/10: Passing- host failures expected and will pass in pre-validation
5/9: External authenticate command not sent to card from terminal. If tag 82 byte 1 bit 3=1 and tag 91 is returned from host, External Authenticate command must be sent to the card from the terminal. Transaction downgrades and no tag 91 sent from host
4/24: Test case cancelled- please rerun</t>
  </si>
  <si>
    <t>5/10: Resolved</t>
  </si>
  <si>
    <t>Test case cancelled- please rerun. Test case cancelled- please rerun. I know some in the list are online PIN, but AXP EMV 013, AXP EMV 020, AXP EMV 023, AXP EMV 024, AXP EMV A23:G29026 are not.</t>
  </si>
  <si>
    <t>AXP EMV 013
AXP EMV 020
AXP EMV 023
AXP EMV 024
AXP EMV 026
AXP EMV 032
AXP EMV 033
AXP EMV 035
AXP EMV 039</t>
  </si>
  <si>
    <t>4/25: AXP EMV 013 rerun and passing.
5/8: AXP EMV 035 run and passing
5/9: Updated test plan, AXP EMV 024 now replaces AXP EMV 025
5/10: Resolved</t>
  </si>
  <si>
    <t>5/21: Passing
5/7: Receipt shows CVM of signature, but text is "Verified by PIN" and signature line is missing.
4/23: Passing, missing receipt</t>
  </si>
  <si>
    <t>5/21: Passing
4/24: Host sends a decline in &lt;RespGrp&gt;, but 2nd Gen AC shows tag 8A with 30 30 for approval. When &lt;EMVGrp&gt; is not returned from the host, the terminal must use the &lt;RespCode&gt; tag to determine the value of 8A- 3030 for a 000 approval, 3035 for a 100 decline.</t>
  </si>
  <si>
    <t>5/21: Passing
5/8: Receipt indicates "Verified by PIN", but should instead indicate "PIN Bypassed"
4/24: Passing, missing receipt</t>
  </si>
  <si>
    <t>5/21: Resolved</t>
  </si>
  <si>
    <t>5/21: Resolved in Amex AXP EMV 002</t>
  </si>
  <si>
    <t>6/18: Passing</t>
  </si>
  <si>
    <t>Host log missing from CertPro, please confirm if transactions are present in RC front end</t>
  </si>
  <si>
    <t>Transaction for $15.01 has 9F27 or 80 meaning transaction went online. In test, Amex requires that the cntls transaction limit be set to $15, and anything over that value will not be allowed to be run on the cntls interface. Ensure your transaction limit is set correctly and rerun. Transaction should not complete as cntls.</t>
  </si>
  <si>
    <t xml:space="preserve"> &lt;POSEntryMode&gt; set to 074. Third bit must be 1 if PIN is supported; this third character must be set the same in all transactions</t>
  </si>
  <si>
    <t>AXP EP003
AXP EP005</t>
  </si>
  <si>
    <t>&lt;TermEntryCapablt&gt; set to 06, but must be 09 if contact is supported and manual key not supported; this should be set to the same value in all transactions.</t>
  </si>
  <si>
    <t>Missing tags 4F, 5F30, and 9F07 (previously optional, now req'd by FD).</t>
  </si>
  <si>
    <t>All Test cases</t>
  </si>
  <si>
    <t>6/22: Resolved</t>
  </si>
  <si>
    <t>7/2: Passing
4/24: Test case cancelled- please rerun</t>
  </si>
  <si>
    <t>E2E CL 23</t>
  </si>
  <si>
    <t>E2E CL 33</t>
  </si>
  <si>
    <t>7/2: Passing (double check in clean run)
5/8: No AID selected- can you confirm you support Interlink AID?
4/16: Card log indicates that the communication ended at the Select command, Interlink AID is not prompted and transaction does not complete. Confirm if Interlink AID is supported.
4/12: User validation indicates transaction completed normally, but no cryptogram is shown in CertPro. Can you send the card log so I can verify the host log is present in CertPro?</t>
  </si>
  <si>
    <t>7/2: Resolved</t>
  </si>
  <si>
    <t>Missing reversal (400/420) message. Please confirm if reversal is sent, and send auth code.</t>
  </si>
  <si>
    <t>9F33 tag byte 2 is F0, but offline PIN not allowed in cntls. Amex allows B2b8 (offline plaintext PIN) to be set to 1 in cntls to represent CDCVM, in that case 9F33 byte 2 should be E0.</t>
  </si>
  <si>
    <t>Check Type</t>
  </si>
  <si>
    <t>Interface</t>
  </si>
  <si>
    <t>Location</t>
  </si>
  <si>
    <t>Global</t>
  </si>
  <si>
    <t>9F33 tag</t>
  </si>
  <si>
    <t xml:space="preserve">Contact </t>
  </si>
  <si>
    <t>All EMV</t>
  </si>
  <si>
    <t>Host log- PT1</t>
  </si>
  <si>
    <t>Ensure 9F33 value matches the indicated Entry Method, CVM, and ODA capabilities as specified in EMVCo Contact L2. See Client Common Issues Document for mapping assistance.</t>
  </si>
  <si>
    <t>Contactless</t>
  </si>
  <si>
    <t>Discover/ Visa</t>
  </si>
  <si>
    <t>Offline PIN is not supported in contactless, ensure 9F33 byte 2 bits 8 and 5 are set to 0.</t>
  </si>
  <si>
    <t>Amex</t>
  </si>
  <si>
    <t>Offline PIN is not supported in contactless, but Amex uses offline plaintext PIN (9F33 B2b8) to signify CDCVM support in contactless. If CDCVM is supported, ensure this bit is enabled but B2b5 is set to 0.</t>
  </si>
  <si>
    <t>MC</t>
  </si>
  <si>
    <t>MC contactless does not allow SDA or DDA support in contactless. 9F33 byte 3 must be 08.</t>
  </si>
  <si>
    <t>MC credit</t>
  </si>
  <si>
    <t>Offline PIN is not supported in contactless. MC requires byte 2 is dynamic based on CVM limit compared to transaction amount. If above the CVM limit, byte 2 will show all non-NoCVM CVM methods available. If below the CVM limit, byte 2 will only show NoCVM, if applicable.</t>
  </si>
  <si>
    <t>US Maestro</t>
  </si>
  <si>
    <t>Offline PIN is not supported in contactless, signature not supported in Maestro and USM contactless. MC requires byte 2 is dynamic based on CVM limit compared to transaction amount. If above the CVM limit, byte 2 will show  online PIN CVM methods available. If below the CVM limit, byte 2 will only show NoCVM, if applicable.</t>
  </si>
  <si>
    <t>Maestro</t>
  </si>
  <si>
    <t>Offline PIN is not supported in contactless, signature not supported in Maestro and USM contactless, Maestro is required to have a $0 CVM limit. Byte 2 will show online PIN CVM methods available.</t>
  </si>
  <si>
    <t>9F09 tag</t>
  </si>
  <si>
    <t>Amex/ Discover/ Interac</t>
  </si>
  <si>
    <t>9F09 is required to be sent in host- value should be 0001</t>
  </si>
  <si>
    <t>9F09 is required to be sent in host- value should be 0002</t>
  </si>
  <si>
    <t>Visa</t>
  </si>
  <si>
    <t>9F09 is required to be sent in host- value should be either 0096 or 008C, and hold the same value across all transactions for all Visa brand AIDs</t>
  </si>
  <si>
    <t>JCB</t>
  </si>
  <si>
    <t>9F09 is required to be sent in host- value should be 0200</t>
  </si>
  <si>
    <t>9F09 is required to be sent in host- value should be 0096</t>
  </si>
  <si>
    <t>MCC value</t>
  </si>
  <si>
    <t>Host log- PT1/PT2</t>
  </si>
  <si>
    <t>MCC should be identical across all brands, in both front and back end</t>
  </si>
  <si>
    <t>EMV Tags</t>
  </si>
  <si>
    <t>Contact</t>
  </si>
  <si>
    <t>Amex/ Discover/ Visa</t>
  </si>
  <si>
    <t>Host log-PT1</t>
  </si>
  <si>
    <t>The following tags are required in the front end host message: 4F, 82, 84, 95, 9A, 9C, 5F24 (if sent by card), 5F2A, 5F30, 5F34, 9F02, 9F03, 9F06, 9F07, 9F09, 9F10, 9F1A, 9F1E, 9F26, 9F27, 9F33, 9F34, 9F35, 9F36, 9F37, 9F39, 9F41</t>
  </si>
  <si>
    <t>Amex/Discover</t>
  </si>
  <si>
    <t>The following tags are required in the front end host message: 4F, 82, 84, 95, 9A, 9C, 5F24 (if sent by card), 5F2A, 5F30, 5F34, 9F02, 9F03, 9F06, 9F07, 9F09, 9F10, 9F1A, 9F1E, 9F26, 9F27, 9F33, 9F34, 9F35, 9F36, 9F37, 9F39, 9F41, 9F53, 9F6E</t>
  </si>
  <si>
    <t>The following tags are required in the front end host message: 4F, 82, 84, 95, 9A, 9C, 5F24 (if sent by card), 5F2A, 5F30, 5F34, 9F02, 9F03, 9F06, 9F07, 9F09, 9F10, 9F1A, 9F1E, 9F26, 9F27, 9F33, 9F34, 9F35, 9F36, 9F37, 9F39, 9F41, 9F6E</t>
  </si>
  <si>
    <t>Transaction type</t>
  </si>
  <si>
    <t>Host log-PT2</t>
  </si>
  <si>
    <t>DE3 should be the same as 9C</t>
  </si>
  <si>
    <t>Common values: 00 for Purchase, 09 for Cashback</t>
  </si>
  <si>
    <t>DE13 should be the same as 9A</t>
  </si>
  <si>
    <t>DE55 tag 9F35 must match terminal type in EMVCo L2 LoA</t>
  </si>
  <si>
    <t>Transaction Time and Date</t>
  </si>
  <si>
    <t>If DE22 is 05, 07, 09, or 80, DE 12 and 13 must be present</t>
  </si>
  <si>
    <t>PIN Capability</t>
  </si>
  <si>
    <t>All transactions regardless of entry mode or CVM selected must use DE22 position 3 to show overall terminal PIN Capability. Value is static and should never vary by transaction</t>
  </si>
  <si>
    <t>Common values: 1= PIN Capable, 2= not PIN Capable</t>
  </si>
  <si>
    <t>Card seq num</t>
  </si>
  <si>
    <t>If 5F34 is sent from card, it should be sent in host</t>
  </si>
  <si>
    <t>If 5F34 is sent in host, DE23 should be present and hold same value as tag (including 000)</t>
  </si>
  <si>
    <t>Partial Auth Indicator</t>
  </si>
  <si>
    <t>Attended POS</t>
  </si>
  <si>
    <t>Partial auth is required for attended terminals, DE48 SE61.1 must be 1</t>
  </si>
  <si>
    <t>Magstipe DE35</t>
  </si>
  <si>
    <t>Magstripe</t>
  </si>
  <si>
    <t>All MSR</t>
  </si>
  <si>
    <t>Host log- PT2</t>
  </si>
  <si>
    <t>DE35 Track 2 data (or DE41 Track 1 Data) must be sent in the back end message if Entry Mode is Magstripe</t>
  </si>
  <si>
    <t>8A tag</t>
  </si>
  <si>
    <t>Quick Chip</t>
  </si>
  <si>
    <t>Card log 2nd Gen AC command</t>
  </si>
  <si>
    <t>8A should always be 5A33 as card is removed from reader before response returned from host.</t>
  </si>
  <si>
    <t>Standard EMV</t>
  </si>
  <si>
    <t>8A should always reflect response from host. Value is either copied from 8A tag from host, or translated based on Response Code if EMV data is not present in host response</t>
  </si>
  <si>
    <t>Reversal indicator</t>
  </si>
  <si>
    <t>Rapid Connect</t>
  </si>
  <si>
    <t>All reversal</t>
  </si>
  <si>
    <t>Reversal indicator &lt;ReversalInd&gt; within &lt;CommonGrp&gt; must be set to Void, not Timeout</t>
  </si>
  <si>
    <t>Offline decline</t>
  </si>
  <si>
    <t>All offline decline</t>
  </si>
  <si>
    <t>Verify there is no host log for offline decline transactions</t>
  </si>
  <si>
    <t>CDA Mode</t>
  </si>
  <si>
    <t>CDA support</t>
  </si>
  <si>
    <t>Card log- 2nd Gen AC</t>
  </si>
  <si>
    <t>Mode 1 is required- ensure CDA is requested in both front and back end</t>
  </si>
  <si>
    <t>Message format</t>
  </si>
  <si>
    <t>Credit and US Debit</t>
  </si>
  <si>
    <t>All Credit must be sent as 100 message.</t>
  </si>
  <si>
    <t>FD highly recommends US Debit to be sent as 100. Must have FD exception if client sends as 200.</t>
  </si>
  <si>
    <t>If US Debit is sent with online PIN, back end must be routed to Debit</t>
  </si>
  <si>
    <t>Global debit</t>
  </si>
  <si>
    <t>All Global Debit must be sent as 200 message.</t>
  </si>
  <si>
    <t>Terminal Entry Capability</t>
  </si>
  <si>
    <t>In RC it is required that if contact is supported (contact only or DI), then &lt;TermEntryCapablt&gt; is set to 12.</t>
  </si>
  <si>
    <t>9F39 values</t>
  </si>
  <si>
    <t>9F39 tag is required in all transactions. Common values are:
  05- Chip transaction
  07- Contactless transaction
  90- Magstripe read
  91- Contactless MSD
  80- Fallback</t>
  </si>
  <si>
    <t>Contact L3</t>
  </si>
  <si>
    <t>Contactless only</t>
  </si>
  <si>
    <t>LoAs</t>
  </si>
  <si>
    <t>If contactless only, ensure Contact L3 LoAs are submitted if available. When completing contactless Intakes, ensure you cross check contactless support with certified contact support.</t>
  </si>
  <si>
    <t>Brand-specific</t>
  </si>
  <si>
    <t>Signature CVM</t>
  </si>
  <si>
    <t>Discover</t>
  </si>
  <si>
    <t>All Attended POS certifications must support Signature</t>
  </si>
  <si>
    <t>NoCVM</t>
  </si>
  <si>
    <t>Unattended POS</t>
  </si>
  <si>
    <t>All Unattended POS certifications must support NoCVM</t>
  </si>
  <si>
    <t>DE22 values</t>
  </si>
  <si>
    <t>POS entry mode (first 2 characters) are 05-Chip, 85- Chip fallback, 02- Contact MSR, 81- Cntls MSR, 83-Cntls Chip</t>
  </si>
  <si>
    <t>DE61 values</t>
  </si>
  <si>
    <t>Positon 1=0 Attended, or 1 Unattended</t>
  </si>
  <si>
    <t>FD requires Partial approval support, Position 2=1/2/3/4</t>
  </si>
  <si>
    <t>Position 4=0 Cardholder present</t>
  </si>
  <si>
    <t>Position 5=0 Card present</t>
  </si>
  <si>
    <t>Position 10=0 Unspecified, 9 Unknown, or M MPOS</t>
  </si>
  <si>
    <t>Position 11= 5 1CC, or H Hybrid ICC &amp; Cntls</t>
  </si>
  <si>
    <t>CDA Mode 1</t>
  </si>
  <si>
    <t>Card log- 1st and 2nd Gen AC</t>
  </si>
  <si>
    <t>Verify that CDA Mode 1 is supported</t>
  </si>
  <si>
    <t>8A tag value</t>
  </si>
  <si>
    <t xml:space="preserve">All </t>
  </si>
  <si>
    <t>Verify that 8A tag matches host Response Code or is 30 35</t>
  </si>
  <si>
    <t>Fallback Entry Mode</t>
  </si>
  <si>
    <t>Verify that POS Entry mode in DE22 is 85 (fallback), not 02 (magstripe)</t>
  </si>
  <si>
    <t>Reversal</t>
  </si>
  <si>
    <t>Verify reversal message is sent</t>
  </si>
  <si>
    <t>9F66 value</t>
  </si>
  <si>
    <t>Card log- GPO</t>
  </si>
  <si>
    <t>9F66 tag is required to be sent to the card from the terminal. Byte 1, 3 and 4 must be static. Byte 2 must be dynamic with bits 8 and 7 changing based on transaction amount compared to Floor and CVM limits.</t>
  </si>
  <si>
    <t>Byte 1: Value determined by CVMs supported</t>
  </si>
  <si>
    <t>Byte 2: Bit 8 will always be 1 as FD requires $0 floor limit. Bit 6 will always be 1 if offline PIN is supported in contact. Bits 5-1 are always 0. Bit 7 will fluctuate based on Transaction amount- if below CVM limit bit is 0, if above CVM limit bit is 1.</t>
  </si>
  <si>
    <t>Byte 3: Value of bite 8-7 determined based on support, bits 6-1 always 0.</t>
  </si>
  <si>
    <t>Byte 4: Always 00</t>
  </si>
  <si>
    <t>ZIP AID</t>
  </si>
  <si>
    <t>If MSD supported</t>
  </si>
  <si>
    <t>Config</t>
  </si>
  <si>
    <t>If MSD is supported in contaactless, ZIP AID is required to be supported</t>
  </si>
  <si>
    <t>CRF Setup- cntls only</t>
  </si>
  <si>
    <t>If contact already certified</t>
  </si>
  <si>
    <t>CRF</t>
  </si>
  <si>
    <t>Certification Type as 'Recertification'</t>
  </si>
  <si>
    <t>Recertification Type as 'Regression (Added functionality that is not impacting the payment application)'</t>
  </si>
  <si>
    <t>Reason for Recertification as 'Support DPAS contactless or ZIP or Mobile payments'​.</t>
  </si>
  <si>
    <t>Track 2 Data</t>
  </si>
  <si>
    <t>Verify that Track 2 data in DE 35 is appended with dCVV</t>
  </si>
  <si>
    <t>ODA support</t>
  </si>
  <si>
    <t>Not Verifone or MagTek</t>
  </si>
  <si>
    <t>ODA is not supported in Discover cntls if transaction goes online. TVR Byte 1 bit 8=1 for ODA not performed.</t>
  </si>
  <si>
    <t>DE60 values</t>
  </si>
  <si>
    <t>DE60.1= 4 for Electronic Cash Register (ECR), 9 for MPOS, 3 for Inattended CAT (0/7 also accepted for attended POS) (if 0, require to get a waiver)</t>
  </si>
  <si>
    <t>DE60.2= 5 for Chip</t>
  </si>
  <si>
    <t>DE60.3= 1 or 2 for fallback, 0 for contact chip</t>
  </si>
  <si>
    <t>DE60.10= 1 for Partial Auth</t>
  </si>
  <si>
    <t>US Common</t>
  </si>
  <si>
    <t>Card log-Select</t>
  </si>
  <si>
    <t>Either Auto Debit Selection or Candidate List Filtering is required. If Auto Debit Selection, AID selected must be US Common</t>
  </si>
  <si>
    <t>If Candidate List Filtring, AID selected must be US Common</t>
  </si>
  <si>
    <t>If Candidate List Filtring, client will have cardholder selection of 1 Credit and 1 US Common AID. Client should select Credit.</t>
  </si>
  <si>
    <t>US Minimum test plan</t>
  </si>
  <si>
    <t>Online, $0 floor limit</t>
  </si>
  <si>
    <t>Test plan</t>
  </si>
  <si>
    <t>If terminal is delployed in the US and has online capability and $0 floor limit, you must use the US Minimum test plan option</t>
  </si>
  <si>
    <t>Interlink CVM Limit</t>
  </si>
  <si>
    <t>Interlink</t>
  </si>
  <si>
    <t>Test Case 8</t>
  </si>
  <si>
    <t>Card log-GPO</t>
  </si>
  <si>
    <t>CVM limit is required to be $0 for Interlink. Verify 9F66 byte 2 bit 7 is 1 for $8.00 transaction</t>
  </si>
  <si>
    <t>Verify Interlink AID is sent as a Debit in the front end</t>
  </si>
  <si>
    <t>Byte 1: Value determined by CVMs supported. Note: MSR not allowed based on Visa requirement</t>
  </si>
  <si>
    <t>Byte 2: Bit 8 will always be 1 as FD requires $0 floor limit. Bits 6-1 are always 0. Bit 7 will fluctuate based on Transaction amount- if below CVM limit bit is 0, if above CVM limit bit is 1.</t>
  </si>
  <si>
    <t>Offline Decline</t>
  </si>
  <si>
    <t>MTIP10.4.1f</t>
  </si>
  <si>
    <t>Verify no host log is present for the offline decline</t>
  </si>
  <si>
    <t>Reversals</t>
  </si>
  <si>
    <t>MTIP24.1.1</t>
  </si>
  <si>
    <t>Verify a 400/420 reversal is generated for card decline after host approval</t>
  </si>
  <si>
    <t>MTIP6.5.1</t>
  </si>
  <si>
    <t>Ensure POS Entry mode is the same in 400/420 as it was in 100/200 message</t>
  </si>
  <si>
    <t>MTIP-USM5.5.1</t>
  </si>
  <si>
    <t>8A should be generated from DE39 in PT3 if no DE55 data returned</t>
  </si>
  <si>
    <t>Partial Auth</t>
  </si>
  <si>
    <t>Partial auth</t>
  </si>
  <si>
    <t>MTIP6.13.1</t>
  </si>
  <si>
    <t>Host log-PT3</t>
  </si>
  <si>
    <t>DE 39 response=10</t>
  </si>
  <si>
    <t>8A should be generated from DE39 in PT3, value should be 3130</t>
  </si>
  <si>
    <t>Extended AID</t>
  </si>
  <si>
    <t xml:space="preserve">All EMV </t>
  </si>
  <si>
    <t>Card log- Select command</t>
  </si>
  <si>
    <t>Ensure full extended AIDs are printed in Select command</t>
  </si>
  <si>
    <t>Ensure full extended AID is printed in DE55 AID tags</t>
  </si>
  <si>
    <t>Fallback indicator</t>
  </si>
  <si>
    <t>Fallback</t>
  </si>
  <si>
    <t>MTIP2 (all)</t>
  </si>
  <si>
    <t>Verify that POS Entry mode is set for fallback, not magstripe</t>
  </si>
  <si>
    <t>TAC Values</t>
  </si>
  <si>
    <t>Card log- 1st Gen AC</t>
  </si>
  <si>
    <t>TAC values updated for 240 test plan. Ensure test case goes online for approval; if not, TAC values must be updated to values given in TSE.</t>
  </si>
  <si>
    <t>Device Type</t>
  </si>
  <si>
    <t>All messaging specs</t>
  </si>
  <si>
    <t>Card log</t>
  </si>
  <si>
    <t>Verify if 9F6E is present. If yes, verify if B3b8=0. If yes, verify value of B5-6</t>
  </si>
  <si>
    <r>
      <t xml:space="preserve">If 9F6E was not present, or B3b8-1, tag </t>
    </r>
    <r>
      <rPr>
        <u/>
        <sz val="11"/>
        <color theme="1"/>
        <rFont val="Calibri"/>
        <family val="2"/>
        <scheme val="minor"/>
      </rPr>
      <t>should not</t>
    </r>
    <r>
      <rPr>
        <sz val="11"/>
        <color theme="1"/>
        <rFont val="Calibri"/>
        <family val="2"/>
        <scheme val="minor"/>
      </rPr>
      <t xml:space="preserve"> be sent to host</t>
    </r>
  </si>
  <si>
    <r>
      <t xml:space="preserve">If 9F6E present </t>
    </r>
    <r>
      <rPr>
        <u/>
        <sz val="11"/>
        <color theme="1"/>
        <rFont val="Calibri"/>
        <family val="2"/>
        <scheme val="minor"/>
      </rPr>
      <t>and</t>
    </r>
    <r>
      <rPr>
        <sz val="11"/>
        <color theme="1"/>
        <rFont val="Calibri"/>
        <family val="2"/>
        <scheme val="minor"/>
      </rPr>
      <t xml:space="preserve"> B2b8=0, tag should be sent in EMV data</t>
    </r>
  </si>
  <si>
    <t>If 9F6E sent to host, verify DE48.23 holds the value sent in tag bytes 5-6</t>
  </si>
  <si>
    <t>RC</t>
  </si>
  <si>
    <t>If 9F6E is sent to host, verify &lt;DevTypeInd&gt; tag shows value sent in 9F6E byte 5-6</t>
  </si>
  <si>
    <t>9F6E should never be sent in host message</t>
  </si>
  <si>
    <t>Application expiration date</t>
  </si>
  <si>
    <t>5F24 tag is required to be sent in front end</t>
  </si>
  <si>
    <t>5F24 must not be sent in back end</t>
  </si>
  <si>
    <t>Tags present in host</t>
  </si>
  <si>
    <t>Tags should be present in back end: 9F35, 9F41, 9F1E (8 bytes, all uppercase if alphabetic), 9F53, 9F09</t>
  </si>
  <si>
    <t>Tags not present in host</t>
  </si>
  <si>
    <r>
      <t xml:space="preserve">Tags </t>
    </r>
    <r>
      <rPr>
        <u/>
        <sz val="11"/>
        <color theme="1"/>
        <rFont val="Calibri"/>
        <family val="2"/>
        <scheme val="minor"/>
      </rPr>
      <t xml:space="preserve">should not </t>
    </r>
    <r>
      <rPr>
        <sz val="11"/>
        <color theme="1"/>
        <rFont val="Calibri"/>
        <family val="2"/>
        <scheme val="minor"/>
      </rPr>
      <t>be present in back end: 9F6E, 5A, 57, 5F24, 5F30</t>
    </r>
  </si>
  <si>
    <t>Debit selection</t>
  </si>
  <si>
    <t>If US debit supported, if Candidate list filtering/Auto debit selection supported</t>
  </si>
  <si>
    <t>MTIP12-USM</t>
  </si>
  <si>
    <t>US Common AID must be selected</t>
  </si>
  <si>
    <t>MTIP51</t>
  </si>
  <si>
    <t>DE61</t>
  </si>
  <si>
    <t>Subfield 1=0 for Attended, 1 for Unattended</t>
  </si>
  <si>
    <t>Subfield 4=0 Cardholder present</t>
  </si>
  <si>
    <t>Subfield 5=0 Card present</t>
  </si>
  <si>
    <t>Subfield 7=0 (7 is not accepted, if sent for cashback transactions [ex: MTIP-USM5.8.1] will need a waiver)</t>
  </si>
  <si>
    <t>Subfield 10=0 Not a CAT, 1-9 for CAT/MPOS</t>
  </si>
  <si>
    <t>Subfield 11=3 Cntls or Dual Interface, 5/8 Contact only</t>
  </si>
  <si>
    <t>Tag 8A value</t>
  </si>
  <si>
    <t>AXP EMV022</t>
  </si>
  <si>
    <t>8A should be 3030 for approval, 3035 or 5A33 for decline. If 3030 is received apply waiver FDC-AXP022-06082016</t>
  </si>
  <si>
    <t>AXP EMV028</t>
  </si>
  <si>
    <t>Downgrade approval should have 8A of 3030 generated from Response Code</t>
  </si>
  <si>
    <t>AXP EMV029</t>
  </si>
  <si>
    <t>Downgrade decline should have 8A of 3035 generated from Response Code</t>
  </si>
  <si>
    <t>DE22</t>
  </si>
  <si>
    <t>Verify DE22 is correct based on Amex Point of Service Data Code table</t>
  </si>
  <si>
    <t>Cryptogram</t>
  </si>
  <si>
    <t>Magstripe Cntls</t>
  </si>
  <si>
    <t>Verify the cryptogram value is correct. Expand DE35 Track Data in host message and verify "No cryptogram type matched the CSC5 value" message is not present</t>
  </si>
  <si>
    <t>Ensure 400 Reversal messages are sent</t>
  </si>
  <si>
    <t>Online PIN</t>
  </si>
  <si>
    <t>Online PIN supported</t>
  </si>
  <si>
    <t>Verify that 9F34 is online PIN and &lt;PINGrp&gt; is sent.</t>
  </si>
  <si>
    <t>Mobile CVM</t>
  </si>
  <si>
    <t>Verify no host log is sent for Sale 1. Host log should be present for Sale 2, verify PAN matches to card for Sale 2.</t>
  </si>
  <si>
    <t>Online PIN CVM</t>
  </si>
  <si>
    <t>Interac must support only online/offline PIN- verify in 9F33 byte 2</t>
  </si>
  <si>
    <t>DE22 position 3 must be 9</t>
  </si>
  <si>
    <t>Config file</t>
  </si>
  <si>
    <t>PIN Bypass is not allowed to be supported in Interac</t>
  </si>
  <si>
    <t>DE58 values</t>
  </si>
  <si>
    <t>DE58 has the below values for attended terminals</t>
  </si>
  <si>
    <t>Position 1= 0 (Attended)</t>
  </si>
  <si>
    <t>Position 2= 1 (Merchant Operated)</t>
  </si>
  <si>
    <t>Position 3= 0 (On premise)</t>
  </si>
  <si>
    <t>Position 4= 0 (Customer Present)</t>
  </si>
  <si>
    <t>Position 5= 0 (Card Present)</t>
  </si>
  <si>
    <t>Position 6= 0 (Device does not have card retention capability)</t>
  </si>
  <si>
    <t>Position 7= 0 (Original Presentment)</t>
  </si>
  <si>
    <t>Position 8= 8</t>
  </si>
  <si>
    <t>Position 9-10= 01</t>
  </si>
  <si>
    <t>Position 11= 5 (Contact Chip)</t>
  </si>
  <si>
    <t>Interac supports</t>
  </si>
  <si>
    <t>Omaha</t>
  </si>
  <si>
    <t>Interac is currently not supported in Omaha</t>
  </si>
  <si>
    <t>Interac cannot support cashback</t>
  </si>
  <si>
    <t>CVM support</t>
  </si>
  <si>
    <t>DNA must support only online PIN and NoCVM- verify in 9F33 byte 2</t>
  </si>
  <si>
    <t>Front end message</t>
  </si>
  <si>
    <t>DNA must be sent as a 200 Debit message, as a global Debit AID</t>
  </si>
  <si>
    <t>DE54 value</t>
  </si>
  <si>
    <t>DE 54 must be populated with the following format
  AAVVCCCXNNNNNNNNNNNN</t>
  </si>
  <si>
    <t>AA- Account type</t>
  </si>
  <si>
    <t>VV- Cashback amount</t>
  </si>
  <si>
    <t>CCC- Currency Code</t>
  </si>
  <si>
    <t>X- Sign (C- positive amount, D- negative amount)</t>
  </si>
  <si>
    <t>NNNNNNNNNNNN- Amount (right justified, 0 filled)</t>
  </si>
  <si>
    <t>AFD</t>
  </si>
  <si>
    <t>1220 Advice</t>
  </si>
  <si>
    <t xml:space="preserve">Verify that 1220 Advice message is sent </t>
  </si>
  <si>
    <t>Pre-Auth checks</t>
  </si>
  <si>
    <t>Pre-Auth message</t>
  </si>
  <si>
    <t>MTI=1100</t>
  </si>
  <si>
    <t>Processing code=004000 (Card Auth. Request) or 004800 (Combined AAV and Auth)</t>
  </si>
  <si>
    <t>DE4 sent by FD as 100</t>
  </si>
  <si>
    <t>DE22.4=2</t>
  </si>
  <si>
    <t>DE24 Function code= 180 or 181 (Amex), 100/101 (Discover)</t>
  </si>
  <si>
    <t>MCC=5542</t>
  </si>
  <si>
    <t>ICC Data present</t>
  </si>
  <si>
    <t>9F1A=840</t>
  </si>
  <si>
    <t>Action Code=Approved</t>
  </si>
  <si>
    <t>Auth-Advice</t>
  </si>
  <si>
    <t>Advice/ Completion message</t>
  </si>
  <si>
    <t>Advice message present</t>
  </si>
  <si>
    <t>IAD</t>
  </si>
  <si>
    <t>EMV</t>
  </si>
  <si>
    <t>Verify 9F10 value sent correctly</t>
  </si>
  <si>
    <t>NA test cases</t>
  </si>
  <si>
    <t>UM94.2.1</t>
  </si>
  <si>
    <t>NoCVM supported above CVM limit, test case will fail</t>
  </si>
  <si>
    <t>PPC.MCD.3.7.1</t>
  </si>
  <si>
    <t>PPC.MCD.4.3.1</t>
  </si>
  <si>
    <t>Fleet data</t>
  </si>
  <si>
    <t>Ensure Fleet data is sent to host</t>
  </si>
  <si>
    <t>CVM limit</t>
  </si>
  <si>
    <t>CVM limit must be $0</t>
  </si>
  <si>
    <t>PIN Bypass</t>
  </si>
  <si>
    <t>PIN Bypass alloed in contact only</t>
  </si>
  <si>
    <t>Required back end elements</t>
  </si>
  <si>
    <t>Verify the following tags are sent in back end: DE4, DE18=5542, DE61.1 (debit only)=1, DE61.7=0 or 4 (4 only in debit), DE61.10=1 or 2 (1 only in debit)</t>
  </si>
  <si>
    <t>Verify the following tags are sent in back end: DE4, DE18=5542, DE48 SE15.1=Date, DE48 SE20=S or P, DE60.1=191 credit or 290 debit, DE61.1=1 (debit only), DE61.7=4 (debit only), DE90, DE95 (debit only), DE121 (credit only)</t>
  </si>
  <si>
    <t>Verify the following tags are sent in back end: DE39=00 or 10</t>
  </si>
  <si>
    <t>CVM requirements</t>
  </si>
  <si>
    <t>Contact AFDs must support Online PIN, Offline PIN, and NoCVM. Can be found in 9F33.</t>
  </si>
  <si>
    <t>Contactless AFDs must support CDCV, Online PIN, and NoCVM. Can be found in 9F33 and 9F1D</t>
  </si>
  <si>
    <t>DE 61 value</t>
  </si>
  <si>
    <t>DE61.1 POS Terminal Attendance Indicator should be set to 1 (unattended)</t>
  </si>
  <si>
    <t>DE61.7 POS Transaction Status Indicator should be set to t4- Preauthorized Request</t>
  </si>
  <si>
    <t>Receipt</t>
  </si>
  <si>
    <t>Auth Code</t>
  </si>
  <si>
    <t>Approval</t>
  </si>
  <si>
    <t>Auth code should be printed on receipt</t>
  </si>
  <si>
    <t>MID and TID must be present</t>
  </si>
  <si>
    <t>MID and TID must be masked to last four digits</t>
  </si>
  <si>
    <t>Transaction amount must be printed as total</t>
  </si>
  <si>
    <t>Currency must be indicated by $ USD, USD $, or $</t>
  </si>
  <si>
    <t>Application Name</t>
  </si>
  <si>
    <t>Payment Network</t>
  </si>
  <si>
    <t>US Common AID</t>
  </si>
  <si>
    <t>Card Entry Method</t>
  </si>
  <si>
    <t>Auth Mode</t>
  </si>
  <si>
    <t>TVR, ARC, TSI, IAD</t>
  </si>
  <si>
    <t>Offline Decline tags</t>
  </si>
  <si>
    <t>All EMV tags must be printed on the receipt in an offline decline. Check FD Implementation Guide for a complete list.</t>
  </si>
  <si>
    <t>7/17: Passing</t>
  </si>
  <si>
    <t>Missing tag 9F53 (Mandatory for MC) and 5F30 (if sent by card)</t>
  </si>
  <si>
    <t>All MP contactless</t>
  </si>
  <si>
    <t>&lt;CardGrp&gt; data not from card being read- this data is pulled from a Discover transaction. You must use Track data from card tag 57 and Card type must match brand of card.</t>
  </si>
  <si>
    <t>Transaction with global debit AID sent as credit, must be sent as debit.</t>
  </si>
  <si>
    <t>Refund transaction, but 9C tag is 00 for purchase instead of 20. Terminal does not decline in 1st Gen AC</t>
  </si>
  <si>
    <t>7/19: Passing</t>
  </si>
  <si>
    <t>All Maestro and MC credit contactless</t>
  </si>
  <si>
    <t>As you don't support NoCVM, all AIDs must have a $0 CVM limit. 
  Maestro- 9F33 must show 40 for byte 2 to show only Online PIN supported, 9F34 must always be Online PIN (byte 1 is 42 or 02).
  MC Credit- 9F33 must show 60 for byte 2 to show only Signature and Online PIN support. 9F34 will be either on line PIN or Signature.
NoCVM should never be selected. If 9F34 and tag 95 work as expected, 9F33 value may be waived.</t>
  </si>
  <si>
    <t>9F33 must show 08 for byte 3 to show only CDA supported (may be wiaved if 9F34 and 95 tags set as expected)</t>
  </si>
  <si>
    <t>All MC Credit cntls</t>
  </si>
  <si>
    <t>Transaction must be run for amount equal to your Transaction limit. Please verify transaction limit, then rerun with this amount.</t>
  </si>
  <si>
    <t>MP11.Test.06.Scenario.01
PPC.MCD.03.Test.03.Scenario.01
PPC.MCD.03.Test.06.Scenario.01</t>
  </si>
  <si>
    <t>Card log for second Sale does not select an AID. Ensure Mobile transaction processing is correctly enabled.</t>
  </si>
  <si>
    <t>When CVM is required for a Mobile transaction, 9F34 must be 01xxxx.</t>
  </si>
  <si>
    <t>CVM limit set to $0 for MC Credit and USM AIDs. As NoCVM is not supported, CVM limit must be $0. Please confirm and update in your configuration, I will update in TSE and CertPro</t>
  </si>
  <si>
    <t>9F02 value does not match &lt;TxnAmt&gt; tag value. 9F02 is currently $1 in every transaction, please set 9F02 as transaction amount.</t>
  </si>
  <si>
    <t>7/25: Resolved testing MP and Combo test cases</t>
  </si>
  <si>
    <t>7/25: Resolved</t>
  </si>
  <si>
    <t>7/25: Resolved testing Combo test cases</t>
  </si>
  <si>
    <t>Missing back end host.</t>
  </si>
  <si>
    <t>All Combo cntls</t>
  </si>
  <si>
    <t>7/26: Resolved</t>
  </si>
  <si>
    <t>9F33 is 60 F0 C8; as offline PIN is not supported in cntls, it should be 60 60 C8.</t>
  </si>
  <si>
    <t>All Discover EMV cntls</t>
  </si>
  <si>
    <t>When AID or mode is magstripe, &lt;POSEntryMode&gt; should be sent as 911, &lt;EMVGrp&gt; should not be sent.</t>
  </si>
  <si>
    <t>7/30: Passing
7/25: 9F33 byte 3 value C8, should be 08 as CDA only is supported in MC cntls. 9F6E tag sent, but B3b8=1. Tag should only be sent if B3b8=1. Missing tag 9F53 and 5F30.</t>
  </si>
  <si>
    <t>7/30: Passing</t>
  </si>
  <si>
    <t>7/30: Passing
7/25: 9F33 byte 3 is C8, should be 08 as only CDA is supported in MC cntls. Missing tag 9F53 and 5F30. Missing back end host.
7/17: Maestro must have a CVM limit of $0. 9F33 must show 40 for byte 2 to show only Online PIN supported, 9F34 must always be Online PIN (byte 1 is 42 or 02). Missing tag 9F53 and 5F30. Missing &lt;MCGrp&gt;, subtag &lt;DevTypeInd&gt; required. &lt;CardGr&gt; data not from card being read- this data is pulled from a Discover transaction. You must use Track data from card tag 57 and Card type must match brand of card. Transaction with global debit AID sent as credit, must be sent as debit.</t>
  </si>
  <si>
    <t>7/30: Passing
7/25: Transaction ends after Select command. Was this cancelled?
7/17: Maestro must have a CVM limit of $0. 9F33 must show 40 for byte 2 to show only Online PIN supported, 9F34 must always be Online PIN (byte 1 is 42 or 02). Missing tag 9F53 and 5F30. Missing &lt;MCGrp&gt;, subtag &lt;DevTypeInd&gt; required. &lt;CardGr&gt; data not from card being read- this data is pulled from a Discover transaction. You must use Track data from card tag 57 and Card type must match brand of card. Transaction with global debit AID sent as credit, must be sent as debit.</t>
  </si>
  <si>
    <t>9F6E tag sent, but B3b8=1. Tag should only be sent if B3b8=0.
Update 7/30: Now 9F6E tag not sent, even when B3b8=0.</t>
  </si>
  <si>
    <t>7/30: Resolved</t>
  </si>
  <si>
    <t>AXP EP003
AXP EP005
All MC cnlts credit</t>
  </si>
  <si>
    <t>E2E CL 03
E2E CL 08
E2E CL 24</t>
  </si>
  <si>
    <t>Discover asks that if offline PIN is supported in cntls, 9F66 B2b6 should be set to 1. Value will be B6 E0 40 00</t>
  </si>
  <si>
    <t>Invalid PIN response instead of approval</t>
  </si>
  <si>
    <t>8/6: Passing
7/30: Discover asks that if offline PIN is supported in cntls, 9F66 B2b6 should be set to 1. Value will be B6 E0 40 00
7/27: &lt;POSEntryMode&gt; set to 074, must be 071. 9F33 is 60 F0 C8; as offline PIN is not supported in cntls, it should be 60 60 C8.
7/2: 9F33 tag issue. Discover asks that if offline PIN is supported in cntls, 9F66 B2b6 should be set to 1. Value will be B6 A0 40 00 (below CVM limit; above CVM byte 2 will be E0)</t>
  </si>
  <si>
    <t>8/6: Passing
7/30: Invalid PIN response instead of approval
7/27: &lt;POSEntryMode&gt; set to 074, must be 071. 9F33 is 60 F0 C8; as offline PIN is not supported in cntls, it should be 60 60 C8. Transaction receives a host approval but User Validation indicates transaction was not completed. Can you confirm?
4/13: Missing tag 9F06, tag 91 issue.</t>
  </si>
  <si>
    <t>8/6: Waiver for 19 digit PAN</t>
  </si>
  <si>
    <t>8/6: Passing
7/30: Discover asks that if offline PIN is supported in cntls, 9F66 B2b6 should be set to 1. Value will be B6 E0 40 00
7/27: &lt;POSEntryMode&gt; set to 074, must be 071. 9F33 is 60 F0 C8; as offline PIN is not supported in cntls, it should be 60 60 C8.</t>
  </si>
  <si>
    <t>8/6: Passing
7/30: User Validations not filled in, host log from 5/5. Please send new tpp file and I can manually validate</t>
  </si>
  <si>
    <t>8/6: Resolved with test of other tx's on 8/6
7/30: Discover asks that if offline PIN is supported in cntls, 9F66 B2b6 should be set to 1. Value will be B6 E0 40 00
7/27: &lt;POSEntryMode&gt; set to 074, must be 071. 9F33 is 60 F0 C8; as offline PIN is not supported in cntls, it should be 60 60 C8.</t>
  </si>
  <si>
    <t>8/6: Resolved with test of other tx's on 8/6
7/30: Discover asks that if offline PIN is supported in cntls, 9F66 B2b6 should be set to 1. Value will be B6 E0 40 00</t>
  </si>
  <si>
    <t>8/6: Resolved with test of other tx's on 8/6
7/30: Discover asks that if offline PIN is supported in cntls, 9F66 B2b6 should be set to 1. Value will be B6 E0 40 00
4/13: Missing tag 9F06, tag 91 issue.</t>
  </si>
  <si>
    <t>8/6: Passing</t>
  </si>
  <si>
    <t>8/6: Passing
4/13: Missing tag 9F06, tag 91 issue.</t>
  </si>
  <si>
    <t>8/6: Resolved with test of other tx's on 8/6
7/30: Discover asks that if offline PIN is supported in cntls, 9F66 B2b6 should be set to 1. Value will be B6 E0 40 00
7/2: Missing host log. Discover asks that if offline PIN is supported in cntls, 9F66 B2b6 should be set to 1. Value will be B6 E0 40 00</t>
  </si>
  <si>
    <t>8/6: Resolved</t>
  </si>
  <si>
    <t>8/6: Passing
7/17: Refund transaction, but 9C tag is 00 for purchase instead of 20. Terminal does not decline in 1st Gen AC</t>
  </si>
  <si>
    <t>8/8: Passing
7/27: ZIP AID is magstripe; &lt;POSEntryMode&gt; should be sent as 911, &lt;EMVGrp&gt; should not be sent.</t>
  </si>
  <si>
    <t>8/8: Passing
7/27: Transaction mode is magstripe; &lt;POSEntryMode&gt; should be sent as 911, &lt;EMVGrp&gt; should not be sent.</t>
  </si>
  <si>
    <t>8/8: Passing
7/30: Transaction mode is magstripe; &lt;POSEntryMode&gt; should be sent as 911, &lt;EMVGrp&gt; should not be sent.</t>
  </si>
  <si>
    <t>8/8: Resolved</t>
  </si>
  <si>
    <t>8/8: Passing
7/30: &lt;POSEntryMode&gt; is 074, but should be 071. 9F6E not sent to host, but should be (B3b8=0)
7/25: &lt;POSEntryMode&gt; is 074, but should be 071. 9F33 byte 3 value C8, should be 08 as CDA only is supported in MC cntls. Missing tag 9F53 and 5F30.</t>
  </si>
  <si>
    <t>8/8: Passing- missing back end host
7/25: 9F33 byte 3 is C8, should be 08 as only CDA is supported in MC cntls. Missing tag 9F53 and 5F30. Missing back end host.
7/17: Maestro must have a CVM limit of $0. 9F33 must show 40 for byte 2 to show only Online PIN supported, 9F34 must always be Online PIN (byte 1 is 42 or 02). Missing tag 9F53 and 5F30. Missing &lt;MCGrp&gt;, subtag &lt;DevTypeInd&gt; required. &lt;CardGr&gt; data not from card being read- this data is pulled from a Discover transaction. You must use Track data from card tag 57 and Card type must match brand of card. Transaction with global debit AID sent as credit, must be sent as debit.</t>
  </si>
  <si>
    <t>8/8: Passing
7/2: 9F66 issue- Visa no longer allows cntls MSD supported. 9F66 B1b8 should instead be 0. Value will be 36 80 40 00 (below CVM limit; above CVM byte 2 will be C0). 9F33 issue</t>
  </si>
  <si>
    <t>8/8: Passing</t>
  </si>
  <si>
    <t>8/8: Passing with waiver for 19 digit PAN</t>
  </si>
  <si>
    <t>8/8: Passing-- need to verify receipt</t>
  </si>
  <si>
    <t>8/8: Resolved in Combo23</t>
  </si>
  <si>
    <t>All debit contactless</t>
  </si>
  <si>
    <t>8/9: Host log in CertPro is from 6/19, passing
6/18: Transaction has 9F27 of 80, meaning it tried to go online. In test, Amex requires that the cntls transaction limit be set to $15, and anything over that value will not be allowed to be run on the cntls interface. Ensure your transaction limit is set correctly and rerun. Transaction should not complete as cntls.</t>
  </si>
  <si>
    <t>8/9: Passing</t>
  </si>
  <si>
    <t>All Amex EMV cntls</t>
  </si>
  <si>
    <t>6/20: EMV transaction host logs now present
8/9: Host logs present (but not magstripe)</t>
  </si>
  <si>
    <t>AXP EP003
AXP EP005
AXP EP008
AXP EP010
AXP EP012
AXP EP013</t>
  </si>
  <si>
    <t>8/9: Resolved</t>
  </si>
  <si>
    <t>7/2: Resolved for Amex
7/27: Identified in MC and Discover cntls credit
7/30: Resolved in Discover cnlts credit
8/9: Resolved</t>
  </si>
  <si>
    <t>7/2: Revision- FD now requires value to be 12.
8/9: Resovled</t>
  </si>
  <si>
    <t>All Amex Cntls Magstripe</t>
  </si>
  <si>
    <t>Test case should be unable to go online- please confirm you disconnect from online capabilities before running</t>
  </si>
  <si>
    <t>Missing host for second sale. Can you confirm- did you hit 'Continue' in BTT before second tap? Some terminals are unable to processes the second tap as the PAN is different, please Suman and I know if this is the case and we can begin waiver request process.</t>
  </si>
  <si>
    <t>No Gen AC. Was transaction cancelled before completing?</t>
  </si>
  <si>
    <t>Magstripe cntls sent as regular cntls. &lt;POSEntryMode&gt; must be 911, but sent as 071.</t>
  </si>
  <si>
    <t>8/10: Passing
8/9: Magstripe mode transaction, &lt;POSEntryMode&gt; should be sent as 911, not 071.
6/20: Missing host log- please confirm host is present in front end</t>
  </si>
  <si>
    <t>8/10: Resolved in retest of AXP EP010</t>
  </si>
  <si>
    <t>8/10: Passing
8/9: Magstripe mode transaction, &lt;POSEntryMode&gt; should be sent as 911, not 071. Test case should be unable to go online- please confirm you disconnect from online capabilities before running
6/20: Test case should be unable to go online- please confirm there was no host response</t>
  </si>
  <si>
    <t>8/14: Passing</t>
  </si>
  <si>
    <t>8/14: Failed host check no longer applicable for MCC.</t>
  </si>
  <si>
    <t>8/14: Passing, host check will only pass in preval using MAS simulator</t>
  </si>
  <si>
    <t>UM12.Test.02b.Scenario.01</t>
  </si>
  <si>
    <t>UM20.Test.01.Scenario.01</t>
  </si>
  <si>
    <t>8/14: Passing- missing back end host</t>
  </si>
  <si>
    <t>The terminal should check tag 82 to determine the transaction capabilities of the card. Here, tag 82 B2b1 indicates Cntls EMV not supported. EMV transaction should terminate after reading this.</t>
  </si>
  <si>
    <t>8/15: Passing
8/14: Card log issue- please reexport</t>
  </si>
  <si>
    <t>8/16: Passing
7/17: Missing tag 9F53 and 5F30. 9F33 must show 08 for byte 3 to show only CDA supported. 9F33 byte 2 is 08 and 9F34 shows NoCVM, but your terminal does not support NoCVM. Please ensure your CVM limit is set to $0. 9F02 value does not match &lt;TxnAmt&gt; tag value. Please set 9F02 as transaction amount.</t>
  </si>
  <si>
    <t>8/16: Passing
7/17: Missing tag 9F53 and 5F30. 9F33 must show 08 for byte 3 to show only CDA supported. 9F33 byte 2 is 08 and 9F34 shows NoCVM, but your terminal does not support NoCVM. Please ensure your CVM limit is set to $0. After your confirmation I will update test plan and TSE to show $0 CVM limit. 9F02 value does not match &lt;TxnAmt&gt; tag value. Please set 9F02 as transaction amount.</t>
  </si>
  <si>
    <t>PPC.MAP.07.Test.08.Scenario.01</t>
  </si>
  <si>
    <t>8/16: Passing</t>
  </si>
  <si>
    <t>8/16: Passing
7/19: Refund transaction, but 9C tag is 00 for purchase instead of 20. Terminal does not decline in 1st Gen AC</t>
  </si>
  <si>
    <t>8/16: Passing
7/17: Missing tag 9F53 and 5F30. 9F33 must show 08 for byte 3 to show only CDA supported. 9F33 byte 2 is 08 and 9F34 shows NoCVM, but your terminal does not support NoCVM. Please ensure your CVM limit is set to $0. After your confirmation I will update test plan and TSE to show $0 CVM limit. 9F02 value does not match &lt;TxnAmt&gt; tag value. Please set 9F02 as transaction amount. When CVM is required for a Mobile transaction, 9F34 must be 01xxxx.</t>
  </si>
  <si>
    <t>8/16: Passing
7/17: Missing tag 9F53. 9F33 must show 08 for byte 3 to show only CDA supported. 9F33 byte 2 is 08 and 9F34 shows NoCVM, but your terminal does not support NoCVM. Please ensure your CVM limit is set to $0. 9F02 value does not match &lt;TxnAmt&gt; tag value. Please set 9F02 as transaction amount.</t>
  </si>
  <si>
    <t>8/15: Passing- missing back end host</t>
  </si>
  <si>
    <t>8/16: Resolved</t>
  </si>
  <si>
    <t>8/16: Test case no longer applicable</t>
  </si>
  <si>
    <t>8/20: Passing</t>
  </si>
  <si>
    <t>8/20: Passing
4/24: Transaction amount is incorrect- please ensure you run the transaction with the amount specified ($59.00). Missing receipt</t>
  </si>
  <si>
    <t>8/20: Passing
4/13: Missing receipt. Missing tag 9F06. Tag 91 issue present.
4/12: TSI missing, please include the value you receive from tag 9B. This is required to be present on decline receipts and recommended to be on approval receipts. Missing receipt. Missing tag 9F06. 9F33 value set incorrectly. Tag 91 issue present.</t>
  </si>
  <si>
    <t>8/20: Passing
4/13: Missing receipt. Missing tag 9F06.
4/12: User validation indicates transaction completed normally, but no cryptogram is shown in CertPro. Can you send the card log so I can verify the host log is present in CertPro? Missing receipt.</t>
  </si>
  <si>
    <t>8/20: Passing
4/13: Card log error- can you re-export the log?
4/12: Tag 91 value from the host is 63 16 D2 A0 00 82 00 00, but card log shows that terminal is sending tag 91 as all 00s to the card (2nd Gen AC command). This leads to the card declining the transaction because it believes issuer authentication fails. Ensure you send tag 91 to the card exactly as it is received from the host. Missing receipt. Missing tag 9F06. 9F33 value set incorrectly.</t>
  </si>
  <si>
    <t>8/20: Passing
4/12: Missing tag 9F06. 9F33 value set incorrectly. Tag 91 issue present.</t>
  </si>
  <si>
    <t>8/20: Passing
4/12: Missing tag 9F06. 9F33 value set incorrectly. Tag 91 issue present. Missing receipt</t>
  </si>
  <si>
    <t>8/20: Passing
4/13: Missing tag 9F06
4/12: Host log missing</t>
  </si>
  <si>
    <t>*</t>
  </si>
  <si>
    <t>8/21: Passing
8/9: Magstripe mode transaction, &lt;POSEntryMode&gt; should be sent as 911, not 071.
6/20: Missing host log- please confirm host is present in front end</t>
  </si>
  <si>
    <t>8/21: Passing
8/9: 9F33 tag byte 2 is F0, but should be E0 (offline PIN not allowed in cntls, but B2b8=1 to show mobile CVM support).</t>
  </si>
  <si>
    <t>8/21: Passing
8/9: Magstripe mode transaction, &lt;POSEntryMode&gt; should be sent as 911, not 071.</t>
  </si>
  <si>
    <t>8/21: Passing
8/10: Magstripe mode transaction, &lt;POSEntryMode&gt; should be sent as 911, not 071.
8/9: Missing host for second sale. Can you confirm- did you hit 'Continue' in BTT before second tap? Some terminals are unable to processes the second tap as the PAN is different, please Suman and I know if this is the case and we can begin waiver request process.</t>
  </si>
  <si>
    <t>8/23: Passing
8/9: 9F33 tag byte 2 is F0, but should be E0 (offline PIN not allowed in cntls, but B2b8=1 to show mobile CVM support).
7/2: &lt;TermEntryCapablt&gt; set to 06, but must be 12. 9F33 tag issue.
6/22: &lt;POSEntryMode&gt; set to 074. Third bit must be 1 if PIN is supported; this third character must be set the same in all transactions. &lt;TermEntryCapablt&gt; set to 06, but must be 09 if contact is supported and manual key not supported; this should be set to the same value in all transactions. 9F33 tag byt 2 is F0, but offline PIN not allowed in cntls. Amex allows B2b8 (offline plaintext PIN) to be set to 1 in cntls to represent CDCVM, in that case 9F33 byte 2 should be E0.
6/20: &lt;POSEntryMode&gt; set to 074. Third bit must be 1 if PIN is supported; this third character must be set the same in all transactions. &lt;TermEntryCapablt&gt; set to 06, but must be 09 if contact is supported and manual key not supported; this should be set to the same value in all transactions. Missing tags 4F, 5F30, and 9F07 (previously optional, now req'd by FD). 9F33 tag byt 2 is F0, but offline PIN not allowed in cntls. Amex allows B2b8 (offline plaintext PIN) to be set to 1 in cntls to represent CDCVM, in that case 9F33 byte 2 should be E0.
6/19: Missing host log- please confirm host is present in front end</t>
  </si>
  <si>
    <t>8/23: Passing
8/9: Magstripe mode transaction, &lt;POSEntryMode&gt; should be sent as 911, not 071.
6/20: Same as below
6/19: Missing host log- please confirm host is present in front end</t>
  </si>
  <si>
    <t>8/23: Passing
8/9: 9F33 tag byte 2 is F0, but should be E0 (offline PIN not allowed in cntls, but B2b8=1 to show mobile CVM support).</t>
  </si>
  <si>
    <t>8/23: Passing
7/30: &lt;POSEntryMode&gt; is 074, but should be 071.
7/25: &lt;POSEntryMode&gt; is 074, but should be 071. 9F33 byte 3 value C8, should be 08 as CDA only is supported in MC cntls. 9F6E tag sent, but B3b8=1. Tag should only be sent if B3b8=1. Missing tag 9F53 and 5F30.</t>
  </si>
  <si>
    <t>8/23: Passing
8/15: Missing host
8/14: Missing host, we should see if reexporting will help resolve</t>
  </si>
  <si>
    <t>8/9: Resolved in all but Amex
8/23: Passing</t>
  </si>
  <si>
    <t>8/23: Resolved</t>
  </si>
  <si>
    <t>8/24: Resolved in testing other test cases on 8/21.
8/9: 9F33 tag byte 2 is F0, but should be E0 (offline PIN not allowed in cntls, but B2b8=1 to show mobile CVM support).</t>
  </si>
  <si>
    <t>8/27: Passing
8/15: Missing host
8/14: Missing host, we should see if reexporting will help resolve</t>
  </si>
  <si>
    <t>8/27: Passing
8/16: Transaction must be run for amount equal to your Transaction limit. Please verify transaction limit, then rerun with this amount.
7/17: Missing tag 9F53 and 5F30. 9F33 must show 08 for byte 3 to show only CDA supported. 9F33 byte 2 is 08 and 9F34 shows NoCVM, but your terminal does not support NoCVM. Please ensure your CVM limit is set to $0. After your confirmation I will update test plan and TSE to show $0 CVM limit. 9F02 value does not match &lt;TxnAmt&gt; tag value. Please set 9F02 as transaction amount. Transaction must be run for amount equal to your Transaction limit. Please verify transaction limit, then rerun with this amount.</t>
  </si>
  <si>
    <t>8/27: Passing
8/23: Missing 9F6E. USM AID sent in &lt;DebitRequest&gt;, should be sent as a credit message for all US Common AIDs.
7/30: 9F6E not sent to host, but should be (B3b8=0)
7/25: 9F33 byte 3 value C8, should be 08 as CDA only is supported in MC cntls. &lt;DevTypeInd&gt; tag not sent containing device type from 9F6E tag. Missing tag 9F53 and 5F30.</t>
  </si>
  <si>
    <t>8/27: Missing back end log so host won't match to transaction. However, front end host transaction looks to be passing.</t>
  </si>
  <si>
    <t>8/27: Passing
4/27: Transaction sent as fallback, not magstripe (POSEntryMode is 80, should be 90). Ensure you do not use BTT probe for this test case, but swipe with plastic test card first.
4/17: Missing host log- please send auth code and amount</t>
  </si>
  <si>
    <r>
      <t xml:space="preserve">MTIP24.1.1
</t>
    </r>
    <r>
      <rPr>
        <strike/>
        <sz val="11"/>
        <rFont val="Calibri"/>
        <family val="2"/>
        <scheme val="minor"/>
      </rPr>
      <t>AXP EMV 023</t>
    </r>
  </si>
  <si>
    <t>8/27: Resolved</t>
  </si>
  <si>
    <t>9/10: Passing
8/27: All user validations are blank and host log not connected to transaction. Do you have a STAN for the transaction?
7/2: Missing Host log, please send auth code, amount, and date run and I will manually search for log</t>
  </si>
  <si>
    <t>9/10: Passing
8/27: Sale and Reversal transactions sent with &lt;POSEntryMode&gt; of 071 for cntls, must be 051 for contact.
5/9: Reversal missing from CertPro- can you confirm you sent 400 reversal message?
4/24: Test case cancelled- please rerun</t>
  </si>
  <si>
    <t>(9/10: Old issue resolved in testing other test cases)
5/4: Issuer Authentication Failure causing card decline/reversal- tag 9F53 is not sent (req. for MC), and tag 91 value not sent back to the card but sent from the host.
5/2: Issuer Authentication Failure causing card decline/reversal
4/30: Transaction sent as &lt;DebitRequest&gt;, but USM AID is recommended to be sent as credit.
4/17: Online PIN set as CVM, but no &lt;PINGrp&gt; present</t>
  </si>
  <si>
    <t>9/11: Passing
8/27: Transaction ends at Read Record. The transaction should continue through 1st Gen AC, have 9F27 of 80, but when transaction is sent to host the connection is off and it cannot get online. Then 2nd Gen AC should show 8A of 5A33 for Unable to Go Online.
4/24: Transaction sent online. Ensure you disconnect the terminal from online capabilities to ensure the transaction is not able to be sent online.</t>
  </si>
  <si>
    <t>9/10: Awaiting confirmation if reversal is received by FD.
8/27: Multiple Sales sent for same Cryptogram, should not be possible. &lt;POSEntryMode&gt; sent as 071 for cntls but must be 051 for contact. Missing reversal. All 3 sales send Approval response, but card log shows a decline. EMV data not returned in host response, possibly becuase transaction for debit offline PIN sent as cntls (offline PIN not allowed in cntls). Even still, if EMV data is not returned terminal should look at &lt;RespGrp&gt; to determine host response and code 8A in card log accordingly.
4/17: Reversal message missing- can you confirm the reversal (420) was sent? If so, can you send auth code?</t>
  </si>
  <si>
    <t>8/27: Resolved for Amex
9/10: Awaiting confirmation on reversal from FD</t>
  </si>
  <si>
    <t>9/10: Resolved</t>
  </si>
  <si>
    <t>5/4: This could also be caused by an old BTT verison- make sure you are on the latest update to BTT 5.3.0
9/10: Resolved</t>
  </si>
  <si>
    <t>AXP EMV 002
ADVT 1A.1</t>
  </si>
  <si>
    <t>8/16: See back end messages in Astrex logs, will review these during testing
9/11: CertPro issue, resolved</t>
  </si>
  <si>
    <t>9/11: Awaiting feedback from Amex team and terminal vendor</t>
  </si>
  <si>
    <t>9/14: Passing
5/4: Issuer Authentication Failure causing card decline/reversal- tag 9F53 is not sent (req. for MC), and tag 91 value not sent back to the card but sent from the host.
4/17: Receiving format error from host, no EMV data.</t>
  </si>
  <si>
    <t>9/17: Passing
8/14: The terminal should check tag 82 to determine the transaction capabilities of the card. Here, tag 82 B2b1 indicates Cntls EMV not supported. EMV transaction should terminate after reading this.</t>
  </si>
  <si>
    <t>9/11: Awaiting feedback from terminal vendor
9/17: Resolved</t>
  </si>
  <si>
    <t>ADVT Test Case 01 (a)</t>
  </si>
  <si>
    <t>ADVT Test Case 08</t>
  </si>
  <si>
    <t>ADVT Test Case 16</t>
  </si>
  <si>
    <t>ADVT Test Case 20</t>
  </si>
  <si>
    <t>CDET Test Case 01</t>
  </si>
  <si>
    <t>CDET Test Case 08</t>
  </si>
  <si>
    <t>CDET Test Case 09</t>
  </si>
  <si>
    <t>CDET Test Case 10</t>
  </si>
  <si>
    <t>9/24: Passing</t>
  </si>
  <si>
    <t>10/25: Pass</t>
  </si>
  <si>
    <t>10/29: Pass
10/25: Host with matching amount sent as cntls magstripe, must be EMV.</t>
  </si>
  <si>
    <t>10/29: Pass</t>
  </si>
  <si>
    <t>10/29: Waived</t>
  </si>
  <si>
    <t>10/31: Passing
10/25: 9F33 byte 3 is F8, must be F0 as NoCVM is not supported</t>
  </si>
  <si>
    <t>11/5: Passing
10/31: 9F09 is 0096, but Visa credit is 008C. These should be the same value
10/25: 9F33 byte 3 is F8, must be F0 as NoCVM is not supported</t>
  </si>
  <si>
    <t>11/5: Passing
10/31: 9F09 is 0096, but Visa credit is 008C. These should be the same value
10/25: Missing host</t>
  </si>
  <si>
    <t>11/5: Passing
10/29: 9F33 byte 3 is F8, must be F0 as NoCVM is not supported</t>
  </si>
  <si>
    <t>11/5: Passing, need to verify receipt
10/29: 9F33 byte 3 is F8, must be F0 as NoCVM is not supported (verify receipt shows PIN Bypass)</t>
  </si>
  <si>
    <t>11/6: Passing
10/29: &lt;POSEntryMode&gt; sent as 071, but as this is cntls magstripe it must be sent as 911.</t>
  </si>
  <si>
    <t>10/1: Exception- NoCVM not supported, so terminal terminates transaction after CVM cannot be performed.
8/9: No Gen AC. Was transaction cancelled before completing?</t>
  </si>
  <si>
    <t>AXP EMV 001</t>
  </si>
  <si>
    <t>AXP EMV 002</t>
  </si>
  <si>
    <t>AXP EMV 003</t>
  </si>
  <si>
    <t>AXP EMV 004</t>
  </si>
  <si>
    <t>AXP EMV 005</t>
  </si>
  <si>
    <t>AXP EMV 006</t>
  </si>
  <si>
    <t>AXP EMV 007</t>
  </si>
  <si>
    <t>AXP EMV 010</t>
  </si>
  <si>
    <t>AXP EMV 011</t>
  </si>
  <si>
    <t>AXP EMV 012</t>
  </si>
  <si>
    <t>AXP EMV 013</t>
  </si>
  <si>
    <t>AXP EMV 014</t>
  </si>
  <si>
    <t>AXP EMV 016</t>
  </si>
  <si>
    <t>AXP EMV 017.2</t>
  </si>
  <si>
    <t>AXP EMV 018</t>
  </si>
  <si>
    <t>AXP EMV 019</t>
  </si>
  <si>
    <t>AXP EMV 020</t>
  </si>
  <si>
    <t>AXP EMV 021</t>
  </si>
  <si>
    <t>AXP EMV 026</t>
  </si>
  <si>
    <t>AXP EMV 028</t>
  </si>
  <si>
    <t>AXP EMV 032</t>
  </si>
  <si>
    <t>AXP EMV 033</t>
  </si>
  <si>
    <t>AXP EMV 035</t>
  </si>
  <si>
    <t>AXP EMV 036</t>
  </si>
  <si>
    <t>AXP EMV 039</t>
  </si>
  <si>
    <t>AXP MAG 001</t>
  </si>
  <si>
    <t>AXP MAG 002</t>
  </si>
  <si>
    <t>AXP RCP 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</si>
</sst>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d/yyyy;@"/>
    <numFmt numFmtId="165" formatCode="0.0%"/>
  </numFmts>
  <fonts count="22"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theme="0"/>
      <name val="Calibri"/>
      <family val="2"/>
      <scheme val="minor"/>
    </font>
    <font>
      <sz val="11"/>
      <name val="Calibri"/>
      <family val="2"/>
      <scheme val="minor"/>
    </font>
    <font>
      <b/>
      <sz val="10"/>
      <color theme="0"/>
      <name val="Arial"/>
      <family val="2"/>
    </font>
    <font>
      <sz val="11"/>
      <color theme="0"/>
      <name val="Calibri"/>
      <family val="2"/>
      <scheme val="minor"/>
    </font>
    <font>
      <sz val="26"/>
      <color theme="1"/>
      <name val="Calibri"/>
      <family val="2"/>
      <scheme val="minor"/>
    </font>
    <font>
      <b/>
      <sz val="11"/>
      <color rgb="FF9C0006"/>
      <name val="Calibri"/>
      <family val="2"/>
      <scheme val="minor"/>
    </font>
    <font>
      <b/>
      <sz val="11"/>
      <color rgb="FF9C6500"/>
      <name val="Calibri"/>
      <family val="2"/>
      <scheme val="minor"/>
    </font>
    <font>
      <b/>
      <sz val="11"/>
      <color rgb="FF006100"/>
      <name val="Calibri"/>
      <family val="2"/>
      <scheme val="minor"/>
    </font>
    <font>
      <sz val="11"/>
      <color theme="8" tint="-0.499984740745262"/>
      <name val="Calibri"/>
      <family val="2"/>
      <scheme val="minor"/>
    </font>
    <font>
      <b/>
      <u/>
      <sz val="11"/>
      <color rgb="FFC00000"/>
      <name val="Calibri"/>
      <family val="2"/>
      <scheme val="minor"/>
    </font>
    <font>
      <b/>
      <sz val="14"/>
      <color theme="1"/>
      <name val="Calibri"/>
      <family val="2"/>
      <scheme val="minor"/>
    </font>
    <font>
      <b/>
      <sz val="11"/>
      <color theme="1"/>
      <name val="Calibri"/>
      <family val="2"/>
      <scheme val="minor"/>
    </font>
    <font>
      <b/>
      <sz val="11"/>
      <color theme="0"/>
      <name val="Calibri"/>
      <family val="2"/>
      <scheme val="minor"/>
    </font>
    <font>
      <sz val="11"/>
      <color theme="0" tint="-0.34998626667073579"/>
      <name val="Calibri"/>
      <family val="2"/>
      <scheme val="minor"/>
    </font>
    <font>
      <strike/>
      <sz val="11"/>
      <color theme="0" tint="-0.34998626667073579"/>
      <name val="Calibri"/>
      <family val="2"/>
      <scheme val="minor"/>
    </font>
    <font>
      <sz val="11"/>
      <color rgb="FF000000"/>
      <name val="Calibri"/>
      <family val="2"/>
      <scheme val="minor"/>
    </font>
    <font>
      <u/>
      <sz val="11"/>
      <color theme="1"/>
      <name val="Calibri"/>
      <family val="2"/>
      <scheme val="minor"/>
    </font>
    <font>
      <strike/>
      <sz val="11"/>
      <name val="Calibri"/>
      <family val="2"/>
      <scheme val="minor"/>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C0000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rgb="FFFFFF00"/>
        <bgColor indexed="64"/>
      </patternFill>
    </fill>
    <fill>
      <patternFill patternType="solid">
        <fgColor rgb="FFFF6A47"/>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0000"/>
        <bgColor indexed="64"/>
      </patternFill>
    </fill>
    <fill>
      <patternFill patternType="solid">
        <fgColor theme="1"/>
        <bgColor indexed="64"/>
      </patternFill>
    </fill>
  </fills>
  <borders count="68">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thin">
        <color indexed="64"/>
      </bottom>
      <diagonal/>
    </border>
    <border>
      <left style="thin">
        <color indexed="64"/>
      </left>
      <right/>
      <top/>
      <bottom/>
      <diagonal/>
    </border>
    <border>
      <left style="thin">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bottom style="thin">
        <color indexed="64"/>
      </bottom>
      <diagonal/>
    </border>
    <border>
      <left style="medium">
        <color indexed="64"/>
      </left>
      <right style="medium">
        <color indexed="64"/>
      </right>
      <top/>
      <bottom/>
      <diagonal/>
    </border>
    <border>
      <left/>
      <right/>
      <top style="thin">
        <color indexed="64"/>
      </top>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theme="4"/>
      </left>
      <right/>
      <top style="thin">
        <color theme="4"/>
      </top>
      <bottom/>
      <diagonal/>
    </border>
    <border>
      <left style="thin">
        <color indexed="64"/>
      </left>
      <right/>
      <top style="medium">
        <color indexed="64"/>
      </top>
      <bottom style="thin">
        <color indexed="64"/>
      </bottom>
      <diagonal/>
    </border>
    <border>
      <left/>
      <right/>
      <top style="thin">
        <color theme="4"/>
      </top>
      <bottom/>
      <diagonal/>
    </border>
    <border>
      <left/>
      <right style="thin">
        <color theme="4"/>
      </right>
      <top style="thin">
        <color theme="4"/>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4">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cellStyleXfs>
  <cellXfs count="333">
    <xf numFmtId="0" fontId="0" fillId="0" borderId="0" xfId="0"/>
    <xf numFmtId="0" fontId="1" fillId="2" borderId="0" xfId="1"/>
    <xf numFmtId="0" fontId="2" fillId="3" borderId="0" xfId="2"/>
    <xf numFmtId="0" fontId="3" fillId="4" borderId="0" xfId="3"/>
    <xf numFmtId="0" fontId="4" fillId="5" borderId="0" xfId="0" applyFont="1" applyFill="1"/>
    <xf numFmtId="0" fontId="0" fillId="0" borderId="0" xfId="0" applyAlignment="1">
      <alignment wrapText="1"/>
    </xf>
    <xf numFmtId="0" fontId="4" fillId="5" borderId="0" xfId="0" applyFont="1" applyFill="1" applyAlignment="1">
      <alignment wrapText="1"/>
    </xf>
    <xf numFmtId="0" fontId="0" fillId="0" borderId="0" xfId="0" applyFill="1" applyAlignment="1">
      <alignment wrapText="1"/>
    </xf>
    <xf numFmtId="0" fontId="5" fillId="0" borderId="0" xfId="0" applyFont="1" applyFill="1"/>
    <xf numFmtId="14" fontId="0" fillId="0" borderId="0" xfId="0" applyNumberFormat="1"/>
    <xf numFmtId="2" fontId="0" fillId="0" borderId="0" xfId="0" applyNumberFormat="1"/>
    <xf numFmtId="0" fontId="0" fillId="0" borderId="0" xfId="0" applyAlignment="1">
      <alignment horizontal="center" vertical="center"/>
    </xf>
    <xf numFmtId="0" fontId="0" fillId="0" borderId="0" xfId="0" applyAlignment="1"/>
    <xf numFmtId="0" fontId="6" fillId="5" borderId="1" xfId="0" applyFont="1" applyFill="1" applyBorder="1" applyAlignment="1">
      <alignment horizontal="left" vertical="center" wrapText="1"/>
    </xf>
    <xf numFmtId="0" fontId="0" fillId="0" borderId="2" xfId="0" applyBorder="1"/>
    <xf numFmtId="0" fontId="6" fillId="5" borderId="0" xfId="0" applyFont="1" applyFill="1" applyBorder="1" applyAlignment="1">
      <alignment horizontal="left" vertical="center" wrapText="1"/>
    </xf>
    <xf numFmtId="0" fontId="6" fillId="5" borderId="2" xfId="0" applyFont="1" applyFill="1" applyBorder="1" applyAlignment="1">
      <alignment horizontal="left" vertical="center" wrapText="1"/>
    </xf>
    <xf numFmtId="0" fontId="0" fillId="5" borderId="2" xfId="0" applyFill="1" applyBorder="1"/>
    <xf numFmtId="164" fontId="0" fillId="0" borderId="0" xfId="0" applyNumberFormat="1"/>
    <xf numFmtId="0" fontId="6" fillId="6" borderId="1" xfId="0" applyFont="1" applyFill="1" applyBorder="1" applyAlignment="1">
      <alignment horizontal="left" vertical="center" wrapText="1"/>
    </xf>
    <xf numFmtId="0" fontId="6" fillId="6" borderId="2" xfId="0" applyFont="1" applyFill="1" applyBorder="1" applyAlignment="1">
      <alignment horizontal="left" vertical="center" wrapText="1"/>
    </xf>
    <xf numFmtId="164" fontId="0" fillId="0" borderId="0" xfId="0" applyNumberFormat="1" applyAlignment="1">
      <alignment horizontal="left"/>
    </xf>
    <xf numFmtId="0" fontId="0" fillId="0" borderId="3" xfId="0" applyFont="1" applyBorder="1"/>
    <xf numFmtId="0" fontId="0" fillId="0" borderId="0" xfId="0" applyAlignment="1">
      <alignment horizontal="left"/>
    </xf>
    <xf numFmtId="0" fontId="6" fillId="6" borderId="4" xfId="0" applyFont="1" applyFill="1" applyBorder="1" applyAlignment="1">
      <alignment horizontal="center" vertical="top" wrapText="1"/>
    </xf>
    <xf numFmtId="0" fontId="11" fillId="2" borderId="4" xfId="1" applyFont="1" applyFill="1" applyBorder="1" applyAlignment="1">
      <alignment horizontal="left" vertical="top" wrapText="1"/>
    </xf>
    <xf numFmtId="0" fontId="9" fillId="3" borderId="4" xfId="2" applyFont="1" applyFill="1" applyBorder="1" applyAlignment="1">
      <alignment horizontal="left" vertical="top" wrapText="1"/>
    </xf>
    <xf numFmtId="0" fontId="10" fillId="4" borderId="4" xfId="3" applyFont="1" applyFill="1" applyBorder="1" applyAlignment="1">
      <alignment horizontal="left" vertical="top" wrapText="1"/>
    </xf>
    <xf numFmtId="0" fontId="6" fillId="6" borderId="5" xfId="0" applyFont="1" applyFill="1" applyBorder="1" applyAlignment="1">
      <alignment horizontal="left" vertical="top" wrapText="1"/>
    </xf>
    <xf numFmtId="0" fontId="0" fillId="0" borderId="4" xfId="0" applyFont="1" applyBorder="1"/>
    <xf numFmtId="0" fontId="1" fillId="2" borderId="4" xfId="1" applyFont="1" applyFill="1" applyBorder="1" applyAlignment="1">
      <alignment horizontal="left"/>
    </xf>
    <xf numFmtId="0" fontId="2" fillId="3" borderId="4" xfId="2" applyFont="1" applyFill="1" applyBorder="1" applyAlignment="1">
      <alignment horizontal="left"/>
    </xf>
    <xf numFmtId="0" fontId="3" fillId="4" borderId="4" xfId="3" applyFont="1" applyFill="1" applyBorder="1" applyAlignment="1">
      <alignment horizontal="left"/>
    </xf>
    <xf numFmtId="0" fontId="0" fillId="0" borderId="5" xfId="0" applyFont="1" applyBorder="1" applyAlignment="1">
      <alignment horizontal="left"/>
    </xf>
    <xf numFmtId="0" fontId="1" fillId="2" borderId="3" xfId="1" applyFont="1" applyFill="1" applyBorder="1" applyAlignment="1">
      <alignment horizontal="left"/>
    </xf>
    <xf numFmtId="0" fontId="2" fillId="3" borderId="3" xfId="2" applyFont="1" applyFill="1" applyBorder="1" applyAlignment="1">
      <alignment horizontal="left"/>
    </xf>
    <xf numFmtId="0" fontId="3" fillId="4" borderId="3" xfId="3" applyFont="1" applyFill="1" applyBorder="1" applyAlignment="1">
      <alignment horizontal="left"/>
    </xf>
    <xf numFmtId="0" fontId="0" fillId="0" borderId="2" xfId="0" applyFont="1" applyBorder="1" applyAlignment="1">
      <alignment horizontal="left"/>
    </xf>
    <xf numFmtId="0" fontId="7" fillId="0" borderId="0" xfId="0" applyFont="1"/>
    <xf numFmtId="165" fontId="0" fillId="0" borderId="0" xfId="0" applyNumberFormat="1" applyAlignment="1">
      <alignment horizontal="left"/>
    </xf>
    <xf numFmtId="1" fontId="0" fillId="0" borderId="0" xfId="0" applyNumberFormat="1" applyAlignment="1">
      <alignment horizontal="left"/>
    </xf>
    <xf numFmtId="0" fontId="0" fillId="0" borderId="2" xfId="0" applyFill="1" applyBorder="1" applyProtection="1">
      <protection locked="0"/>
    </xf>
    <xf numFmtId="0" fontId="0" fillId="0" borderId="2" xfId="0" applyBorder="1" applyProtection="1">
      <protection locked="0"/>
    </xf>
    <xf numFmtId="164" fontId="0" fillId="0" borderId="2" xfId="0" applyNumberFormat="1" applyBorder="1" applyProtection="1">
      <protection locked="0"/>
    </xf>
    <xf numFmtId="14" fontId="0" fillId="0" borderId="2" xfId="0" applyNumberFormat="1" applyFill="1" applyBorder="1" applyProtection="1">
      <protection locked="0"/>
    </xf>
    <xf numFmtId="164" fontId="0" fillId="9" borderId="2" xfId="0" applyNumberFormat="1" applyFill="1" applyBorder="1"/>
    <xf numFmtId="0" fontId="13" fillId="0" borderId="0" xfId="0" applyFont="1" applyAlignment="1">
      <alignment wrapText="1"/>
    </xf>
    <xf numFmtId="0" fontId="0" fillId="0" borderId="0" xfId="0" applyAlignment="1">
      <alignment vertical="top"/>
    </xf>
    <xf numFmtId="0" fontId="0" fillId="9" borderId="0" xfId="0" applyFill="1" applyAlignment="1">
      <alignment wrapText="1"/>
    </xf>
    <xf numFmtId="0" fontId="14" fillId="9" borderId="0" xfId="0" applyFont="1" applyFill="1" applyAlignment="1">
      <alignment wrapText="1"/>
    </xf>
    <xf numFmtId="0" fontId="4" fillId="10" borderId="2" xfId="0" applyFont="1" applyFill="1" applyBorder="1" applyAlignment="1">
      <alignment horizontal="center"/>
    </xf>
    <xf numFmtId="0" fontId="1" fillId="2" borderId="0" xfId="1" applyProtection="1">
      <protection locked="0"/>
    </xf>
    <xf numFmtId="165" fontId="1" fillId="2" borderId="0" xfId="1" applyNumberFormat="1" applyProtection="1">
      <protection locked="0"/>
    </xf>
    <xf numFmtId="0" fontId="5" fillId="7" borderId="0" xfId="2" applyFont="1" applyFill="1" applyProtection="1">
      <protection locked="0"/>
    </xf>
    <xf numFmtId="165" fontId="5" fillId="7" borderId="0" xfId="2" applyNumberFormat="1" applyFont="1" applyFill="1" applyProtection="1">
      <protection locked="0"/>
    </xf>
    <xf numFmtId="0" fontId="12" fillId="8" borderId="0" xfId="1" applyFont="1" applyFill="1" applyAlignment="1" applyProtection="1">
      <alignment wrapText="1"/>
      <protection locked="0"/>
    </xf>
    <xf numFmtId="1" fontId="12" fillId="8" borderId="0" xfId="1" applyNumberFormat="1" applyFont="1" applyFill="1" applyAlignment="1" applyProtection="1">
      <alignment horizontal="left"/>
      <protection locked="0"/>
    </xf>
    <xf numFmtId="1" fontId="5" fillId="7" borderId="0" xfId="2" applyNumberFormat="1" applyFont="1" applyFill="1" applyAlignment="1" applyProtection="1">
      <alignment horizontal="left"/>
      <protection locked="0"/>
    </xf>
    <xf numFmtId="0" fontId="0" fillId="0" borderId="0" xfId="0" applyProtection="1">
      <protection locked="0"/>
    </xf>
    <xf numFmtId="0" fontId="0" fillId="0" borderId="0" xfId="0" applyAlignment="1" applyProtection="1">
      <alignment horizontal="center" vertical="center"/>
      <protection locked="0"/>
    </xf>
    <xf numFmtId="0" fontId="0" fillId="9" borderId="9" xfId="0" applyFill="1" applyBorder="1" applyAlignment="1">
      <alignment vertical="top"/>
    </xf>
    <xf numFmtId="0" fontId="0" fillId="9" borderId="10" xfId="0" applyFill="1" applyBorder="1" applyAlignment="1">
      <alignment horizontal="center" vertical="top" wrapText="1"/>
    </xf>
    <xf numFmtId="0" fontId="5" fillId="13" borderId="2" xfId="0" applyFont="1" applyFill="1" applyBorder="1" applyAlignment="1">
      <alignment horizontal="left" vertical="top" wrapText="1"/>
    </xf>
    <xf numFmtId="14" fontId="5" fillId="13" borderId="2" xfId="0" applyNumberFormat="1" applyFont="1" applyFill="1" applyBorder="1" applyAlignment="1">
      <alignment horizontal="left" vertical="top"/>
    </xf>
    <xf numFmtId="14" fontId="5" fillId="0" borderId="2" xfId="0" applyNumberFormat="1" applyFont="1" applyBorder="1" applyAlignment="1">
      <alignment horizontal="left" vertical="top"/>
    </xf>
    <xf numFmtId="0" fontId="0" fillId="0" borderId="15" xfId="0" applyBorder="1" applyAlignment="1">
      <alignment vertical="top"/>
    </xf>
    <xf numFmtId="0" fontId="0" fillId="9" borderId="25" xfId="0" applyFill="1" applyBorder="1"/>
    <xf numFmtId="0" fontId="0" fillId="0" borderId="15" xfId="0" applyBorder="1"/>
    <xf numFmtId="0" fontId="0" fillId="0" borderId="18" xfId="0" applyBorder="1"/>
    <xf numFmtId="0" fontId="0" fillId="0" borderId="12" xfId="0" applyBorder="1"/>
    <xf numFmtId="0" fontId="0" fillId="0" borderId="15" xfId="0" applyBorder="1" applyAlignment="1">
      <alignment vertical="top" wrapText="1"/>
    </xf>
    <xf numFmtId="0" fontId="0" fillId="0" borderId="37" xfId="0" applyBorder="1"/>
    <xf numFmtId="0" fontId="0" fillId="0" borderId="38" xfId="0" applyBorder="1"/>
    <xf numFmtId="0" fontId="0" fillId="0" borderId="39" xfId="0" applyBorder="1"/>
    <xf numFmtId="0" fontId="0" fillId="7" borderId="24" xfId="0" applyFill="1" applyBorder="1"/>
    <xf numFmtId="0" fontId="0" fillId="7" borderId="25" xfId="0" applyFill="1" applyBorder="1"/>
    <xf numFmtId="0" fontId="0" fillId="7" borderId="7" xfId="0" applyFill="1" applyBorder="1"/>
    <xf numFmtId="0" fontId="0" fillId="7" borderId="8" xfId="0" applyFill="1" applyBorder="1"/>
    <xf numFmtId="0" fontId="0" fillId="0" borderId="30" xfId="0" applyBorder="1" applyAlignment="1">
      <alignment vertical="top"/>
    </xf>
    <xf numFmtId="0" fontId="0" fillId="0" borderId="12" xfId="0" applyBorder="1" applyAlignment="1">
      <alignment vertical="top"/>
    </xf>
    <xf numFmtId="0" fontId="0" fillId="0" borderId="40" xfId="0" applyBorder="1"/>
    <xf numFmtId="0" fontId="0" fillId="0" borderId="33" xfId="0" applyBorder="1" applyAlignment="1">
      <alignment vertical="top"/>
    </xf>
    <xf numFmtId="0" fontId="0" fillId="0" borderId="18" xfId="0" applyBorder="1" applyAlignment="1">
      <alignment wrapText="1"/>
    </xf>
    <xf numFmtId="0" fontId="0" fillId="0" borderId="34" xfId="0" applyBorder="1" applyAlignment="1">
      <alignment vertical="top"/>
    </xf>
    <xf numFmtId="0" fontId="0" fillId="0" borderId="21" xfId="0" applyBorder="1" applyAlignment="1">
      <alignment vertical="top"/>
    </xf>
    <xf numFmtId="0" fontId="0" fillId="0" borderId="41" xfId="0" applyBorder="1" applyAlignment="1">
      <alignment wrapText="1"/>
    </xf>
    <xf numFmtId="0" fontId="0" fillId="0" borderId="21" xfId="0" applyBorder="1" applyAlignment="1">
      <alignment wrapText="1"/>
    </xf>
    <xf numFmtId="0" fontId="0" fillId="14" borderId="24" xfId="0" applyFill="1" applyBorder="1"/>
    <xf numFmtId="0" fontId="0" fillId="13" borderId="6" xfId="0" applyFill="1" applyBorder="1"/>
    <xf numFmtId="0" fontId="0" fillId="11" borderId="11" xfId="0" applyFill="1" applyBorder="1"/>
    <xf numFmtId="0" fontId="0" fillId="14" borderId="42" xfId="0" applyFill="1" applyBorder="1"/>
    <xf numFmtId="0" fontId="0" fillId="14" borderId="43" xfId="0" applyFill="1" applyBorder="1"/>
    <xf numFmtId="0" fontId="0" fillId="9" borderId="44" xfId="0" applyFill="1" applyBorder="1" applyAlignment="1">
      <alignment horizontal="left" vertical="top" wrapText="1"/>
    </xf>
    <xf numFmtId="0" fontId="0" fillId="9" borderId="45" xfId="0" applyFill="1" applyBorder="1" applyAlignment="1">
      <alignment vertical="top" wrapText="1"/>
    </xf>
    <xf numFmtId="0" fontId="0" fillId="9" borderId="45" xfId="0" applyFill="1" applyBorder="1" applyAlignment="1">
      <alignment vertical="top"/>
    </xf>
    <xf numFmtId="0" fontId="0" fillId="9" borderId="46" xfId="0" applyFill="1" applyBorder="1" applyAlignment="1">
      <alignment vertical="top"/>
    </xf>
    <xf numFmtId="0" fontId="0" fillId="0" borderId="47" xfId="0" applyBorder="1" applyAlignment="1">
      <alignment horizontal="left" vertical="top" wrapText="1"/>
    </xf>
    <xf numFmtId="0" fontId="0" fillId="0" borderId="48" xfId="0" applyBorder="1" applyAlignment="1">
      <alignment vertical="top" wrapText="1"/>
    </xf>
    <xf numFmtId="0" fontId="0" fillId="0" borderId="48" xfId="0" applyBorder="1" applyAlignment="1">
      <alignment vertical="top"/>
    </xf>
    <xf numFmtId="0" fontId="0" fillId="0" borderId="14" xfId="0" applyBorder="1" applyAlignment="1">
      <alignment vertical="top"/>
    </xf>
    <xf numFmtId="0" fontId="0" fillId="13" borderId="49" xfId="0" applyFill="1" applyBorder="1" applyAlignment="1">
      <alignment horizontal="left" vertical="top" wrapText="1"/>
    </xf>
    <xf numFmtId="0" fontId="0" fillId="13" borderId="2" xfId="0" applyFill="1" applyBorder="1" applyAlignment="1">
      <alignment vertical="top" wrapText="1"/>
    </xf>
    <xf numFmtId="0" fontId="0" fillId="13" borderId="2" xfId="0" applyFill="1" applyBorder="1" applyAlignment="1">
      <alignment vertical="top"/>
    </xf>
    <xf numFmtId="0" fontId="0" fillId="0" borderId="2" xfId="0" applyBorder="1" applyAlignment="1">
      <alignment vertical="top"/>
    </xf>
    <xf numFmtId="0" fontId="0" fillId="13" borderId="16" xfId="0" applyFill="1" applyBorder="1" applyAlignment="1">
      <alignment vertical="top"/>
    </xf>
    <xf numFmtId="0" fontId="0" fillId="0" borderId="49" xfId="0" applyBorder="1" applyAlignment="1">
      <alignment horizontal="left" vertical="top" wrapText="1"/>
    </xf>
    <xf numFmtId="0" fontId="0" fillId="0" borderId="2" xfId="0" applyBorder="1" applyAlignment="1">
      <alignment vertical="top" wrapText="1"/>
    </xf>
    <xf numFmtId="0" fontId="0" fillId="0" borderId="16" xfId="0" applyBorder="1" applyAlignment="1">
      <alignment vertical="top"/>
    </xf>
    <xf numFmtId="0" fontId="0" fillId="0" borderId="16" xfId="0" applyBorder="1" applyAlignment="1">
      <alignment vertical="top" wrapText="1"/>
    </xf>
    <xf numFmtId="0" fontId="0" fillId="13" borderId="16" xfId="0" applyFill="1" applyBorder="1" applyAlignment="1">
      <alignment vertical="top" wrapText="1"/>
    </xf>
    <xf numFmtId="0" fontId="0" fillId="13" borderId="51" xfId="0" applyFill="1" applyBorder="1" applyAlignment="1">
      <alignment vertical="top"/>
    </xf>
    <xf numFmtId="0" fontId="0" fillId="0" borderId="5" xfId="0" applyFill="1" applyBorder="1" applyAlignment="1">
      <alignment vertical="top"/>
    </xf>
    <xf numFmtId="0" fontId="0" fillId="0" borderId="50" xfId="0" applyFill="1" applyBorder="1" applyAlignment="1">
      <alignment vertical="top"/>
    </xf>
    <xf numFmtId="0" fontId="0" fillId="0" borderId="5" xfId="0" applyFill="1" applyBorder="1" applyAlignment="1">
      <alignment vertical="top" wrapText="1"/>
    </xf>
    <xf numFmtId="0" fontId="5" fillId="0" borderId="50" xfId="0" applyFont="1" applyFill="1" applyBorder="1" applyAlignment="1">
      <alignment vertical="top" wrapText="1"/>
    </xf>
    <xf numFmtId="0" fontId="0" fillId="6" borderId="24" xfId="0" applyFill="1" applyBorder="1" applyAlignment="1">
      <alignment vertical="top"/>
    </xf>
    <xf numFmtId="0" fontId="0" fillId="13" borderId="9" xfId="0" applyFill="1" applyBorder="1" applyAlignment="1">
      <alignment vertical="top"/>
    </xf>
    <xf numFmtId="0" fontId="0" fillId="6" borderId="36" xfId="0" applyFill="1" applyBorder="1" applyAlignment="1">
      <alignment horizontal="left" vertical="top"/>
    </xf>
    <xf numFmtId="0" fontId="0" fillId="6" borderId="55" xfId="0" applyFill="1" applyBorder="1" applyAlignment="1">
      <alignment horizontal="left" vertical="top"/>
    </xf>
    <xf numFmtId="0" fontId="0" fillId="6" borderId="55" xfId="0" applyFill="1" applyBorder="1" applyAlignment="1">
      <alignment vertical="top"/>
    </xf>
    <xf numFmtId="0" fontId="0" fillId="6" borderId="56" xfId="0" applyFill="1" applyBorder="1" applyAlignment="1">
      <alignment vertical="top"/>
    </xf>
    <xf numFmtId="0" fontId="0" fillId="0" borderId="0" xfId="0" applyAlignment="1">
      <alignment horizontal="left" vertical="top"/>
    </xf>
    <xf numFmtId="0" fontId="0" fillId="11" borderId="0" xfId="0" applyFill="1" applyAlignment="1">
      <alignment vertical="top"/>
    </xf>
    <xf numFmtId="0" fontId="0" fillId="9" borderId="6" xfId="0" applyFill="1" applyBorder="1"/>
    <xf numFmtId="0" fontId="0" fillId="9" borderId="8" xfId="0" applyFill="1" applyBorder="1"/>
    <xf numFmtId="0" fontId="0" fillId="0" borderId="14" xfId="0" applyBorder="1" applyAlignment="1">
      <alignment wrapText="1"/>
    </xf>
    <xf numFmtId="0" fontId="0" fillId="0" borderId="16" xfId="0" applyBorder="1" applyAlignment="1">
      <alignment wrapText="1"/>
    </xf>
    <xf numFmtId="0" fontId="0" fillId="0" borderId="2" xfId="0" applyFill="1" applyBorder="1" applyAlignment="1">
      <alignment vertical="top"/>
    </xf>
    <xf numFmtId="0" fontId="0" fillId="0" borderId="22" xfId="0" applyFill="1" applyBorder="1" applyAlignment="1">
      <alignment vertical="top"/>
    </xf>
    <xf numFmtId="0" fontId="0" fillId="0" borderId="23" xfId="0" applyBorder="1" applyAlignment="1">
      <alignment wrapText="1"/>
    </xf>
    <xf numFmtId="0" fontId="0" fillId="0" borderId="52" xfId="0" applyBorder="1" applyAlignment="1">
      <alignment wrapText="1"/>
    </xf>
    <xf numFmtId="0" fontId="0" fillId="0" borderId="22" xfId="0" applyBorder="1" applyAlignment="1">
      <alignment vertical="top"/>
    </xf>
    <xf numFmtId="0" fontId="0" fillId="0" borderId="13" xfId="0" applyFill="1" applyBorder="1" applyAlignment="1">
      <alignment vertical="top"/>
    </xf>
    <xf numFmtId="0" fontId="0" fillId="0" borderId="9" xfId="0" applyBorder="1" applyAlignment="1">
      <alignment vertical="top"/>
    </xf>
    <xf numFmtId="0" fontId="0" fillId="0" borderId="10" xfId="0" applyBorder="1" applyAlignment="1">
      <alignment vertical="top"/>
    </xf>
    <xf numFmtId="0" fontId="0" fillId="0" borderId="11" xfId="0" applyBorder="1" applyAlignment="1">
      <alignment wrapText="1"/>
    </xf>
    <xf numFmtId="0" fontId="0" fillId="0" borderId="2" xfId="0" quotePrefix="1" applyBorder="1" applyProtection="1">
      <protection locked="0"/>
    </xf>
    <xf numFmtId="0" fontId="16" fillId="5" borderId="0" xfId="0" applyFont="1" applyFill="1"/>
    <xf numFmtId="0" fontId="17" fillId="13" borderId="2" xfId="0" applyFont="1" applyFill="1" applyBorder="1" applyAlignment="1">
      <alignment horizontal="left" vertical="top" wrapText="1"/>
    </xf>
    <xf numFmtId="14" fontId="17" fillId="13" borderId="2" xfId="0" applyNumberFormat="1" applyFont="1" applyFill="1" applyBorder="1" applyAlignment="1">
      <alignment horizontal="left" vertical="top"/>
    </xf>
    <xf numFmtId="14" fontId="17" fillId="13" borderId="2" xfId="0" applyNumberFormat="1" applyFont="1" applyFill="1" applyBorder="1" applyAlignment="1">
      <alignment horizontal="left" vertical="top" wrapText="1"/>
    </xf>
    <xf numFmtId="0" fontId="17" fillId="0" borderId="5" xfId="0" applyFont="1" applyFill="1" applyBorder="1" applyAlignment="1">
      <alignment horizontal="left" vertical="top" wrapText="1"/>
    </xf>
    <xf numFmtId="14" fontId="17" fillId="0" borderId="5" xfId="0" applyNumberFormat="1" applyFont="1" applyFill="1" applyBorder="1" applyAlignment="1">
      <alignment horizontal="left" vertical="top"/>
    </xf>
    <xf numFmtId="14" fontId="17" fillId="0" borderId="4" xfId="0" applyNumberFormat="1" applyFont="1" applyFill="1" applyBorder="1" applyAlignment="1">
      <alignment horizontal="left" vertical="top"/>
    </xf>
    <xf numFmtId="0" fontId="17" fillId="0" borderId="4" xfId="0" applyFont="1" applyFill="1" applyBorder="1" applyAlignment="1">
      <alignment horizontal="left" vertical="top" wrapText="1"/>
    </xf>
    <xf numFmtId="14" fontId="17" fillId="13" borderId="3" xfId="0" applyNumberFormat="1" applyFont="1" applyFill="1" applyBorder="1" applyAlignment="1">
      <alignment horizontal="left" vertical="top" wrapText="1"/>
    </xf>
    <xf numFmtId="0" fontId="17" fillId="13" borderId="3" xfId="0" applyFont="1" applyFill="1" applyBorder="1" applyAlignment="1">
      <alignment horizontal="left" vertical="top" wrapText="1"/>
    </xf>
    <xf numFmtId="0" fontId="17" fillId="0" borderId="19" xfId="0" applyFont="1" applyFill="1" applyBorder="1" applyAlignment="1">
      <alignment horizontal="left" vertical="top" wrapText="1"/>
    </xf>
    <xf numFmtId="14" fontId="17" fillId="0" borderId="19" xfId="0" applyNumberFormat="1" applyFont="1" applyFill="1" applyBorder="1" applyAlignment="1">
      <alignment horizontal="left" vertical="top"/>
    </xf>
    <xf numFmtId="14" fontId="17" fillId="0" borderId="19" xfId="0" applyNumberFormat="1" applyFont="1" applyFill="1" applyBorder="1" applyAlignment="1">
      <alignment horizontal="left" vertical="top" wrapText="1"/>
    </xf>
    <xf numFmtId="0" fontId="17" fillId="0" borderId="2" xfId="0" applyFont="1" applyBorder="1" applyAlignment="1">
      <alignment horizontal="left" vertical="top" wrapText="1"/>
    </xf>
    <xf numFmtId="14" fontId="17" fillId="0" borderId="2" xfId="0" applyNumberFormat="1" applyFont="1" applyBorder="1" applyAlignment="1">
      <alignment horizontal="left" vertical="top"/>
    </xf>
    <xf numFmtId="14" fontId="17" fillId="0" borderId="3" xfId="0" applyNumberFormat="1" applyFont="1" applyBorder="1" applyAlignment="1">
      <alignment horizontal="left" vertical="top" wrapText="1"/>
    </xf>
    <xf numFmtId="0" fontId="17" fillId="0" borderId="3" xfId="0" applyFont="1" applyBorder="1" applyAlignment="1">
      <alignment horizontal="left" vertical="top" wrapText="1"/>
    </xf>
    <xf numFmtId="0" fontId="0" fillId="0" borderId="59" xfId="0" applyFont="1" applyBorder="1"/>
    <xf numFmtId="0" fontId="17" fillId="0" borderId="48" xfId="0" applyFont="1" applyBorder="1" applyAlignment="1">
      <alignment horizontal="left" vertical="top" wrapText="1"/>
    </xf>
    <xf numFmtId="14" fontId="17" fillId="0" borderId="48" xfId="0" applyNumberFormat="1" applyFont="1" applyBorder="1" applyAlignment="1">
      <alignment horizontal="left" vertical="top"/>
    </xf>
    <xf numFmtId="14" fontId="17" fillId="0" borderId="60" xfId="0" applyNumberFormat="1" applyFont="1" applyBorder="1" applyAlignment="1">
      <alignment horizontal="left" vertical="top" wrapText="1"/>
    </xf>
    <xf numFmtId="0" fontId="17" fillId="0" borderId="60" xfId="0" applyFont="1" applyBorder="1" applyAlignment="1">
      <alignment horizontal="left" vertical="top" wrapText="1"/>
    </xf>
    <xf numFmtId="0" fontId="18" fillId="0" borderId="47" xfId="0" applyFont="1" applyBorder="1" applyAlignment="1">
      <alignment horizontal="left" vertical="top" wrapText="1"/>
    </xf>
    <xf numFmtId="0" fontId="18" fillId="13" borderId="49" xfId="0" applyFont="1" applyFill="1" applyBorder="1" applyAlignment="1">
      <alignment horizontal="left" vertical="top" wrapText="1"/>
    </xf>
    <xf numFmtId="0" fontId="18" fillId="0" borderId="49" xfId="0" applyFont="1" applyBorder="1" applyAlignment="1">
      <alignment horizontal="left" vertical="top" wrapText="1"/>
    </xf>
    <xf numFmtId="0" fontId="18" fillId="0" borderId="53" xfId="0" applyFont="1" applyFill="1" applyBorder="1" applyAlignment="1">
      <alignment horizontal="left" vertical="top" wrapText="1"/>
    </xf>
    <xf numFmtId="0" fontId="5" fillId="13" borderId="33" xfId="0" applyFont="1" applyFill="1" applyBorder="1" applyAlignment="1">
      <alignment horizontal="left" vertical="top" wrapText="1"/>
    </xf>
    <xf numFmtId="0" fontId="18" fillId="0" borderId="32" xfId="0" applyFont="1" applyFill="1" applyBorder="1" applyAlignment="1">
      <alignment horizontal="left" vertical="top" wrapText="1"/>
    </xf>
    <xf numFmtId="0" fontId="5" fillId="13" borderId="49" xfId="0" applyFont="1" applyFill="1" applyBorder="1" applyAlignment="1">
      <alignment horizontal="left" vertical="top" wrapText="1"/>
    </xf>
    <xf numFmtId="0" fontId="0" fillId="0" borderId="49" xfId="0" applyBorder="1" applyAlignment="1">
      <alignment vertical="top" wrapText="1"/>
    </xf>
    <xf numFmtId="0" fontId="17" fillId="0" borderId="2" xfId="0" applyFont="1" applyFill="1" applyBorder="1" applyAlignment="1">
      <alignment horizontal="left" vertical="top" wrapText="1"/>
    </xf>
    <xf numFmtId="14" fontId="17" fillId="0" borderId="2" xfId="0" applyNumberFormat="1" applyFont="1" applyFill="1" applyBorder="1" applyAlignment="1">
      <alignment horizontal="left" vertical="top"/>
    </xf>
    <xf numFmtId="0" fontId="18" fillId="0" borderId="49" xfId="0" applyFont="1" applyFill="1" applyBorder="1" applyAlignment="1">
      <alignment horizontal="left" vertical="top" wrapText="1"/>
    </xf>
    <xf numFmtId="14" fontId="17" fillId="13" borderId="3" xfId="0" applyNumberFormat="1" applyFont="1" applyFill="1" applyBorder="1" applyAlignment="1">
      <alignment horizontal="left" vertical="top"/>
    </xf>
    <xf numFmtId="0" fontId="18" fillId="13" borderId="33" xfId="0" applyFont="1" applyFill="1" applyBorder="1" applyAlignment="1">
      <alignment horizontal="left" vertical="top" wrapText="1"/>
    </xf>
    <xf numFmtId="0" fontId="17" fillId="13" borderId="2" xfId="0" applyFont="1" applyFill="1" applyBorder="1" applyAlignment="1">
      <alignment vertical="top"/>
    </xf>
    <xf numFmtId="0" fontId="17" fillId="13" borderId="2" xfId="0" applyFont="1" applyFill="1" applyBorder="1" applyAlignment="1">
      <alignment vertical="top" wrapText="1"/>
    </xf>
    <xf numFmtId="0" fontId="18" fillId="13" borderId="49" xfId="0" applyFont="1" applyFill="1" applyBorder="1" applyAlignment="1">
      <alignment vertical="top" wrapText="1"/>
    </xf>
    <xf numFmtId="0" fontId="17" fillId="0" borderId="3" xfId="0" applyFont="1" applyFill="1" applyBorder="1" applyAlignment="1">
      <alignment horizontal="left" vertical="top" wrapText="1"/>
    </xf>
    <xf numFmtId="14" fontId="17" fillId="0" borderId="3" xfId="0" applyNumberFormat="1" applyFont="1" applyFill="1" applyBorder="1" applyAlignment="1">
      <alignment horizontal="left" vertical="top"/>
    </xf>
    <xf numFmtId="14" fontId="17" fillId="0" borderId="3" xfId="0" applyNumberFormat="1" applyFont="1" applyFill="1" applyBorder="1" applyAlignment="1">
      <alignment horizontal="left" vertical="top" wrapText="1"/>
    </xf>
    <xf numFmtId="0" fontId="18" fillId="0" borderId="33" xfId="0" applyFont="1" applyFill="1" applyBorder="1" applyAlignment="1">
      <alignment horizontal="left" vertical="top" wrapText="1"/>
    </xf>
    <xf numFmtId="0" fontId="0" fillId="9" borderId="11" xfId="0" applyFill="1" applyBorder="1" applyAlignment="1">
      <alignment vertical="top"/>
    </xf>
    <xf numFmtId="0" fontId="5" fillId="0" borderId="14" xfId="0" applyFont="1" applyBorder="1" applyAlignment="1">
      <alignment horizontal="center" vertical="top"/>
    </xf>
    <xf numFmtId="0" fontId="5" fillId="13" borderId="16" xfId="0" applyFont="1" applyFill="1" applyBorder="1" applyAlignment="1">
      <alignment horizontal="center" vertical="top"/>
    </xf>
    <xf numFmtId="0" fontId="5" fillId="0" borderId="16" xfId="0" applyFont="1" applyBorder="1" applyAlignment="1">
      <alignment horizontal="center" vertical="top"/>
    </xf>
    <xf numFmtId="0" fontId="5" fillId="0" borderId="16" xfId="0" applyFont="1" applyFill="1" applyBorder="1" applyAlignment="1">
      <alignment horizontal="center" vertical="top"/>
    </xf>
    <xf numFmtId="0" fontId="5" fillId="0" borderId="20" xfId="0" applyFont="1" applyFill="1" applyBorder="1" applyAlignment="1">
      <alignment horizontal="center" vertical="top"/>
    </xf>
    <xf numFmtId="0" fontId="5" fillId="13" borderId="50" xfId="0" applyFont="1" applyFill="1" applyBorder="1" applyAlignment="1">
      <alignment horizontal="center" vertical="top"/>
    </xf>
    <xf numFmtId="14" fontId="5" fillId="13" borderId="2" xfId="0" applyNumberFormat="1" applyFont="1" applyFill="1" applyBorder="1" applyAlignment="1">
      <alignment horizontal="left" vertical="top" wrapText="1"/>
    </xf>
    <xf numFmtId="14" fontId="17" fillId="0" borderId="2" xfId="0" applyNumberFormat="1" applyFont="1" applyBorder="1" applyAlignment="1">
      <alignment horizontal="left" vertical="top" wrapText="1"/>
    </xf>
    <xf numFmtId="0" fontId="17" fillId="0" borderId="2" xfId="0" applyFont="1" applyBorder="1" applyAlignment="1">
      <alignment vertical="top"/>
    </xf>
    <xf numFmtId="0" fontId="18" fillId="0" borderId="49" xfId="0" applyFont="1" applyBorder="1" applyAlignment="1">
      <alignment vertical="top" wrapText="1"/>
    </xf>
    <xf numFmtId="0" fontId="17" fillId="0" borderId="2" xfId="0" applyFont="1" applyBorder="1" applyAlignment="1">
      <alignment vertical="top" wrapText="1"/>
    </xf>
    <xf numFmtId="0" fontId="0" fillId="0" borderId="61" xfId="0" applyFont="1" applyBorder="1"/>
    <xf numFmtId="0" fontId="0" fillId="0" borderId="61" xfId="0" applyFont="1" applyBorder="1" applyAlignment="1">
      <alignment wrapText="1"/>
    </xf>
    <xf numFmtId="0" fontId="0" fillId="0" borderId="62" xfId="0" applyFont="1" applyBorder="1"/>
    <xf numFmtId="0" fontId="0" fillId="9" borderId="6" xfId="0" applyFill="1" applyBorder="1" applyAlignment="1">
      <alignment vertical="top" wrapText="1"/>
    </xf>
    <xf numFmtId="0" fontId="0" fillId="7" borderId="9" xfId="0" applyFill="1" applyBorder="1" applyAlignment="1">
      <alignment wrapText="1"/>
    </xf>
    <xf numFmtId="0" fontId="0" fillId="7" borderId="63" xfId="0" applyFill="1" applyBorder="1" applyAlignment="1">
      <alignment wrapText="1"/>
    </xf>
    <xf numFmtId="0" fontId="0" fillId="7" borderId="10" xfId="0" applyFill="1" applyBorder="1" applyAlignment="1">
      <alignment wrapText="1"/>
    </xf>
    <xf numFmtId="0" fontId="0" fillId="7" borderId="64" xfId="0" applyFill="1" applyBorder="1" applyAlignment="1">
      <alignment wrapText="1"/>
    </xf>
    <xf numFmtId="0" fontId="0" fillId="7" borderId="11" xfId="0" applyFill="1" applyBorder="1" applyAlignment="1">
      <alignment horizontal="left" vertical="top" wrapText="1"/>
    </xf>
    <xf numFmtId="0" fontId="0" fillId="0" borderId="48" xfId="0" applyFill="1" applyBorder="1" applyAlignment="1">
      <alignment horizontal="left" vertical="top" wrapText="1"/>
    </xf>
    <xf numFmtId="0" fontId="19" fillId="0" borderId="48" xfId="0" applyFont="1" applyBorder="1" applyAlignment="1">
      <alignment horizontal="left" vertical="top" wrapText="1"/>
    </xf>
    <xf numFmtId="0" fontId="19" fillId="0" borderId="60" xfId="0" applyFont="1" applyBorder="1" applyAlignment="1">
      <alignment horizontal="left" vertical="top" wrapText="1"/>
    </xf>
    <xf numFmtId="0" fontId="0" fillId="0" borderId="14" xfId="0" applyBorder="1" applyAlignment="1">
      <alignment horizontal="center"/>
    </xf>
    <xf numFmtId="0" fontId="0" fillId="0" borderId="13" xfId="0" applyFill="1" applyBorder="1" applyAlignment="1">
      <alignment wrapText="1"/>
    </xf>
    <xf numFmtId="0" fontId="0" fillId="0" borderId="65" xfId="0" applyFill="1" applyBorder="1" applyAlignment="1">
      <alignment wrapText="1"/>
    </xf>
    <xf numFmtId="0" fontId="0" fillId="0" borderId="16" xfId="0" applyBorder="1" applyAlignment="1">
      <alignment horizontal="center"/>
    </xf>
    <xf numFmtId="0" fontId="0" fillId="0" borderId="2" xfId="0" applyFill="1" applyBorder="1" applyAlignment="1">
      <alignment wrapText="1"/>
    </xf>
    <xf numFmtId="0" fontId="0" fillId="0" borderId="3" xfId="0" applyFill="1" applyBorder="1" applyAlignment="1">
      <alignment wrapText="1"/>
    </xf>
    <xf numFmtId="0" fontId="0" fillId="0" borderId="2" xfId="0" applyBorder="1" applyAlignment="1">
      <alignment wrapText="1"/>
    </xf>
    <xf numFmtId="0" fontId="0" fillId="0" borderId="3" xfId="0" applyBorder="1" applyAlignment="1">
      <alignment wrapText="1"/>
    </xf>
    <xf numFmtId="0" fontId="19" fillId="0" borderId="3" xfId="0" applyFont="1" applyBorder="1" applyAlignment="1">
      <alignment wrapText="1"/>
    </xf>
    <xf numFmtId="0" fontId="0" fillId="0" borderId="3" xfId="0" applyBorder="1" applyAlignment="1">
      <alignment vertical="top" wrapText="1"/>
    </xf>
    <xf numFmtId="0" fontId="0" fillId="0" borderId="2" xfId="0" applyBorder="1" applyAlignment="1">
      <alignment horizontal="left" vertical="top" wrapText="1"/>
    </xf>
    <xf numFmtId="0" fontId="19" fillId="0" borderId="2" xfId="0" applyFont="1" applyBorder="1" applyAlignment="1">
      <alignment horizontal="left" vertical="top" wrapText="1"/>
    </xf>
    <xf numFmtId="0" fontId="19" fillId="0" borderId="3" xfId="0" applyFont="1" applyBorder="1" applyAlignment="1">
      <alignment horizontal="left" vertical="top" wrapText="1"/>
    </xf>
    <xf numFmtId="0" fontId="0" fillId="0" borderId="65" xfId="0" applyBorder="1" applyAlignment="1">
      <alignment horizontal="left" vertical="top" wrapText="1"/>
    </xf>
    <xf numFmtId="0" fontId="0" fillId="0" borderId="13" xfId="0" applyBorder="1" applyAlignment="1">
      <alignment wrapText="1"/>
    </xf>
    <xf numFmtId="0" fontId="0" fillId="0" borderId="65" xfId="0" applyBorder="1" applyAlignment="1">
      <alignment wrapText="1"/>
    </xf>
    <xf numFmtId="0" fontId="0" fillId="0" borderId="2" xfId="0" applyFill="1" applyBorder="1" applyAlignment="1">
      <alignment vertical="top" wrapText="1"/>
    </xf>
    <xf numFmtId="0" fontId="0" fillId="0" borderId="5" xfId="0" applyBorder="1" applyAlignment="1">
      <alignment vertical="top" wrapText="1"/>
    </xf>
    <xf numFmtId="0" fontId="0" fillId="0" borderId="4" xfId="0" applyBorder="1" applyAlignment="1">
      <alignment vertical="top" wrapText="1"/>
    </xf>
    <xf numFmtId="0" fontId="19" fillId="0" borderId="2" xfId="0" applyFont="1" applyBorder="1" applyAlignment="1">
      <alignment vertical="top" wrapText="1"/>
    </xf>
    <xf numFmtId="0" fontId="19" fillId="0" borderId="3" xfId="0" applyFont="1" applyBorder="1" applyAlignment="1">
      <alignment vertical="top" wrapText="1"/>
    </xf>
    <xf numFmtId="0" fontId="0" fillId="0" borderId="13" xfId="0" applyBorder="1" applyAlignment="1">
      <alignment vertical="top" wrapText="1"/>
    </xf>
    <xf numFmtId="0" fontId="0" fillId="0" borderId="65" xfId="0" applyBorder="1" applyAlignment="1">
      <alignment vertical="top" wrapText="1"/>
    </xf>
    <xf numFmtId="0" fontId="19" fillId="0" borderId="13" xfId="0" applyFont="1" applyBorder="1" applyAlignment="1">
      <alignment horizontal="left" vertical="top" wrapText="1"/>
    </xf>
    <xf numFmtId="0" fontId="0" fillId="0" borderId="13" xfId="0" applyBorder="1" applyAlignment="1">
      <alignment horizontal="left" vertical="top" wrapText="1"/>
    </xf>
    <xf numFmtId="0" fontId="19" fillId="0" borderId="65" xfId="0" applyFont="1" applyBorder="1" applyAlignment="1">
      <alignment horizontal="left" vertical="top" wrapText="1"/>
    </xf>
    <xf numFmtId="0" fontId="19" fillId="0" borderId="2" xfId="0" applyFont="1" applyBorder="1" applyAlignment="1">
      <alignment vertical="top"/>
    </xf>
    <xf numFmtId="0" fontId="19" fillId="0" borderId="5" xfId="0" applyFont="1" applyBorder="1" applyAlignment="1">
      <alignment horizontal="left" vertical="top" wrapText="1"/>
    </xf>
    <xf numFmtId="0" fontId="0" fillId="0" borderId="5" xfId="0" applyBorder="1" applyAlignment="1">
      <alignment horizontal="left" vertical="top" wrapText="1"/>
    </xf>
    <xf numFmtId="0" fontId="19" fillId="0" borderId="4" xfId="0" applyFont="1" applyBorder="1" applyAlignment="1">
      <alignment horizontal="lef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19" fillId="0" borderId="22" xfId="0" applyFont="1" applyBorder="1" applyAlignment="1">
      <alignment horizontal="left" vertical="top" wrapText="1"/>
    </xf>
    <xf numFmtId="0" fontId="0" fillId="0" borderId="22" xfId="0" applyBorder="1" applyAlignment="1">
      <alignment horizontal="left" vertical="top" wrapText="1"/>
    </xf>
    <xf numFmtId="0" fontId="19" fillId="0" borderId="66" xfId="0" applyFont="1" applyBorder="1" applyAlignment="1">
      <alignment horizontal="left" vertical="top" wrapText="1"/>
    </xf>
    <xf numFmtId="0" fontId="0" fillId="0" borderId="23" xfId="0" applyBorder="1" applyAlignment="1">
      <alignment horizontal="center"/>
    </xf>
    <xf numFmtId="0" fontId="0" fillId="0" borderId="0" xfId="0" applyAlignment="1">
      <alignment horizontal="center"/>
    </xf>
    <xf numFmtId="0" fontId="17" fillId="13" borderId="5" xfId="0" applyFont="1" applyFill="1" applyBorder="1" applyAlignment="1">
      <alignment vertical="top"/>
    </xf>
    <xf numFmtId="14" fontId="17" fillId="13" borderId="5" xfId="0" applyNumberFormat="1" applyFont="1" applyFill="1" applyBorder="1" applyAlignment="1">
      <alignment horizontal="left" vertical="top"/>
    </xf>
    <xf numFmtId="0" fontId="17" fillId="13" borderId="5" xfId="0" applyFont="1" applyFill="1" applyBorder="1" applyAlignment="1">
      <alignment vertical="top" wrapText="1"/>
    </xf>
    <xf numFmtId="0" fontId="18" fillId="13" borderId="53" xfId="0" applyFont="1" applyFill="1" applyBorder="1" applyAlignment="1">
      <alignment vertical="top" wrapText="1"/>
    </xf>
    <xf numFmtId="0" fontId="18" fillId="0" borderId="49" xfId="0" applyFont="1" applyFill="1" applyBorder="1" applyAlignment="1">
      <alignment vertical="top" wrapText="1"/>
    </xf>
    <xf numFmtId="0" fontId="0" fillId="0" borderId="0" xfId="0" applyAlignment="1">
      <alignment vertical="top" wrapText="1"/>
    </xf>
    <xf numFmtId="0" fontId="0" fillId="9" borderId="10" xfId="0" applyFill="1" applyBorder="1" applyAlignment="1">
      <alignment vertical="top"/>
    </xf>
    <xf numFmtId="0" fontId="0" fillId="9" borderId="7" xfId="0" applyFill="1" applyBorder="1" applyAlignment="1">
      <alignment vertical="top"/>
    </xf>
    <xf numFmtId="0" fontId="5" fillId="0" borderId="30" xfId="0" applyFont="1" applyBorder="1" applyAlignment="1">
      <alignment vertical="top"/>
    </xf>
    <xf numFmtId="0" fontId="5" fillId="13" borderId="33" xfId="0" applyFont="1" applyFill="1" applyBorder="1" applyAlignment="1">
      <alignment vertical="top"/>
    </xf>
    <xf numFmtId="0" fontId="5" fillId="0" borderId="33" xfId="0" applyFont="1" applyBorder="1" applyAlignment="1">
      <alignment vertical="top"/>
    </xf>
    <xf numFmtId="0" fontId="5" fillId="13" borderId="35" xfId="0" applyFont="1" applyFill="1" applyBorder="1" applyAlignment="1">
      <alignment vertical="top"/>
    </xf>
    <xf numFmtId="0" fontId="5" fillId="0" borderId="35" xfId="0" applyFont="1" applyFill="1" applyBorder="1" applyAlignment="1">
      <alignment vertical="top"/>
    </xf>
    <xf numFmtId="0" fontId="5" fillId="0" borderId="33" xfId="0" applyFont="1" applyFill="1" applyBorder="1" applyAlignment="1">
      <alignment vertical="top"/>
    </xf>
    <xf numFmtId="0" fontId="0" fillId="13" borderId="33" xfId="0" applyFill="1" applyBorder="1" applyAlignment="1">
      <alignment vertical="top"/>
    </xf>
    <xf numFmtId="0" fontId="0" fillId="13" borderId="35" xfId="0" applyFill="1" applyBorder="1" applyAlignment="1">
      <alignment vertical="top"/>
    </xf>
    <xf numFmtId="0" fontId="0" fillId="0" borderId="33" xfId="0" applyFill="1" applyBorder="1" applyAlignment="1">
      <alignment vertical="top"/>
    </xf>
    <xf numFmtId="0" fontId="0" fillId="13" borderId="3" xfId="0" applyFill="1" applyBorder="1" applyAlignment="1">
      <alignment vertical="top"/>
    </xf>
    <xf numFmtId="0" fontId="0" fillId="0" borderId="3" xfId="0" applyBorder="1"/>
    <xf numFmtId="0" fontId="5" fillId="13" borderId="3" xfId="0" applyFont="1" applyFill="1" applyBorder="1"/>
    <xf numFmtId="0" fontId="0" fillId="13" borderId="3" xfId="0" applyFill="1" applyBorder="1"/>
    <xf numFmtId="0" fontId="5" fillId="0" borderId="23" xfId="0" applyFont="1" applyFill="1" applyBorder="1" applyAlignment="1">
      <alignment horizontal="center" vertical="top"/>
    </xf>
    <xf numFmtId="0" fontId="17" fillId="0" borderId="22" xfId="0" applyFont="1" applyBorder="1" applyAlignment="1">
      <alignment vertical="top"/>
    </xf>
    <xf numFmtId="14" fontId="17" fillId="0" borderId="22" xfId="0" applyNumberFormat="1" applyFont="1" applyBorder="1" applyAlignment="1">
      <alignment horizontal="left" vertical="top"/>
    </xf>
    <xf numFmtId="0" fontId="18" fillId="0" borderId="67" xfId="0" applyFont="1" applyBorder="1" applyAlignment="1">
      <alignment vertical="top" wrapText="1"/>
    </xf>
    <xf numFmtId="0" fontId="17" fillId="13" borderId="5" xfId="0" applyFont="1" applyFill="1" applyBorder="1" applyAlignment="1">
      <alignment horizontal="left" vertical="top" wrapText="1"/>
    </xf>
    <xf numFmtId="0" fontId="18" fillId="13" borderId="53" xfId="0" applyFont="1" applyFill="1" applyBorder="1" applyAlignment="1">
      <alignment horizontal="left" vertical="top" wrapText="1"/>
    </xf>
    <xf numFmtId="0" fontId="8" fillId="0" borderId="0" xfId="0" applyFont="1" applyAlignment="1">
      <alignment horizontal="center" vertical="center"/>
    </xf>
    <xf numFmtId="0" fontId="0" fillId="12" borderId="6" xfId="0" applyFill="1" applyBorder="1" applyAlignment="1">
      <alignment horizontal="center" vertical="top"/>
    </xf>
    <xf numFmtId="0" fontId="0" fillId="12" borderId="7" xfId="0" applyFill="1" applyBorder="1" applyAlignment="1">
      <alignment horizontal="center" vertical="top"/>
    </xf>
    <xf numFmtId="0" fontId="0" fillId="12" borderId="8" xfId="0" applyFill="1" applyBorder="1" applyAlignment="1">
      <alignment horizontal="center" vertical="top"/>
    </xf>
    <xf numFmtId="0" fontId="0" fillId="13" borderId="7" xfId="0" applyFill="1" applyBorder="1" applyAlignment="1">
      <alignment horizontal="left" vertical="top"/>
    </xf>
    <xf numFmtId="0" fontId="0" fillId="13" borderId="8" xfId="0" applyFill="1" applyBorder="1" applyAlignment="1">
      <alignment horizontal="left" vertical="top"/>
    </xf>
    <xf numFmtId="0" fontId="0" fillId="0" borderId="53" xfId="0" applyFill="1" applyBorder="1" applyAlignment="1">
      <alignment horizontal="left" vertical="top"/>
    </xf>
    <xf numFmtId="0" fontId="0" fillId="0" borderId="54" xfId="0" applyFill="1" applyBorder="1" applyAlignment="1">
      <alignment horizontal="left" vertical="top"/>
    </xf>
    <xf numFmtId="0" fontId="0" fillId="0" borderId="5" xfId="0" applyFill="1" applyBorder="1" applyAlignment="1">
      <alignment horizontal="left" vertical="top"/>
    </xf>
    <xf numFmtId="0" fontId="0" fillId="0" borderId="13" xfId="0" applyFill="1" applyBorder="1" applyAlignment="1">
      <alignment horizontal="left" vertical="top"/>
    </xf>
    <xf numFmtId="0" fontId="15" fillId="15" borderId="24" xfId="0" applyFont="1" applyFill="1" applyBorder="1" applyAlignment="1">
      <alignment horizontal="center" vertical="top"/>
    </xf>
    <xf numFmtId="0" fontId="15" fillId="15" borderId="42" xfId="0" applyFont="1" applyFill="1" applyBorder="1" applyAlignment="1">
      <alignment horizontal="center" vertical="top"/>
    </xf>
    <xf numFmtId="0" fontId="15" fillId="15" borderId="43" xfId="0" applyFont="1" applyFill="1" applyBorder="1" applyAlignment="1">
      <alignment horizontal="center" vertical="top"/>
    </xf>
    <xf numFmtId="0" fontId="0" fillId="13" borderId="29" xfId="0" applyFill="1" applyBorder="1" applyAlignment="1">
      <alignment horizontal="left" vertical="top" wrapText="1"/>
    </xf>
    <xf numFmtId="0" fontId="0" fillId="13" borderId="27" xfId="0" applyFill="1" applyBorder="1" applyAlignment="1">
      <alignment horizontal="left" vertical="top" wrapText="1"/>
    </xf>
    <xf numFmtId="0" fontId="0" fillId="13" borderId="5" xfId="0" applyFill="1" applyBorder="1" applyAlignment="1">
      <alignment horizontal="left" vertical="top" wrapText="1"/>
    </xf>
    <xf numFmtId="0" fontId="0" fillId="13" borderId="13" xfId="0" applyFill="1" applyBorder="1" applyAlignment="1">
      <alignment horizontal="left" vertical="top" wrapText="1"/>
    </xf>
    <xf numFmtId="0" fontId="0" fillId="13" borderId="5" xfId="0" applyFill="1" applyBorder="1" applyAlignment="1">
      <alignment horizontal="left" vertical="top"/>
    </xf>
    <xf numFmtId="0" fontId="0" fillId="13" borderId="13" xfId="0" applyFill="1" applyBorder="1" applyAlignment="1">
      <alignment horizontal="left" vertical="top"/>
    </xf>
    <xf numFmtId="0" fontId="0" fillId="13" borderId="50" xfId="0" applyFill="1" applyBorder="1" applyAlignment="1">
      <alignment horizontal="left" vertical="top"/>
    </xf>
    <xf numFmtId="0" fontId="0" fillId="13" borderId="52" xfId="0" applyFill="1" applyBorder="1" applyAlignment="1">
      <alignment horizontal="left" vertical="top"/>
    </xf>
    <xf numFmtId="0" fontId="0" fillId="16" borderId="33" xfId="0" applyFill="1" applyBorder="1" applyAlignment="1">
      <alignment horizontal="left" vertical="top" wrapText="1"/>
    </xf>
    <xf numFmtId="0" fontId="0" fillId="16" borderId="18" xfId="0" applyFill="1" applyBorder="1" applyAlignment="1">
      <alignment horizontal="left" vertical="top" wrapText="1"/>
    </xf>
    <xf numFmtId="0" fontId="0" fillId="0" borderId="44" xfId="0" applyFill="1" applyBorder="1" applyAlignment="1">
      <alignment horizontal="left" vertical="top" wrapText="1"/>
    </xf>
    <xf numFmtId="0" fontId="0" fillId="0" borderId="57" xfId="0" applyFill="1" applyBorder="1" applyAlignment="1">
      <alignment horizontal="left" vertical="top" wrapText="1"/>
    </xf>
    <xf numFmtId="0" fontId="0" fillId="0" borderId="54" xfId="0" applyFill="1" applyBorder="1" applyAlignment="1">
      <alignment horizontal="left" vertical="top" wrapText="1"/>
    </xf>
    <xf numFmtId="0" fontId="0" fillId="0" borderId="5" xfId="0" applyBorder="1" applyAlignment="1">
      <alignment horizontal="left" vertical="top" wrapText="1"/>
    </xf>
    <xf numFmtId="0" fontId="0" fillId="0" borderId="13" xfId="0" applyBorder="1" applyAlignment="1">
      <alignment horizontal="left" vertical="top" wrapText="1"/>
    </xf>
    <xf numFmtId="0" fontId="0" fillId="0" borderId="51" xfId="0" applyBorder="1" applyAlignment="1">
      <alignment horizontal="left" vertical="top" wrapText="1"/>
    </xf>
    <xf numFmtId="0" fontId="19" fillId="0" borderId="5" xfId="0" applyFont="1" applyBorder="1" applyAlignment="1">
      <alignment horizontal="left" vertical="top" wrapText="1"/>
    </xf>
    <xf numFmtId="0" fontId="19" fillId="0" borderId="51" xfId="0" applyFont="1" applyBorder="1" applyAlignment="1">
      <alignment horizontal="left" vertical="top" wrapText="1"/>
    </xf>
    <xf numFmtId="0" fontId="19" fillId="0" borderId="13" xfId="0" applyFont="1" applyBorder="1" applyAlignment="1">
      <alignment horizontal="left" vertical="top" wrapText="1"/>
    </xf>
    <xf numFmtId="0" fontId="0" fillId="0" borderId="5" xfId="0" applyFill="1" applyBorder="1" applyAlignment="1">
      <alignment vertical="top" wrapText="1"/>
    </xf>
    <xf numFmtId="0" fontId="0" fillId="0" borderId="13" xfId="0" applyFill="1" applyBorder="1" applyAlignment="1">
      <alignment vertical="top" wrapText="1"/>
    </xf>
    <xf numFmtId="0" fontId="0" fillId="0" borderId="5" xfId="0" applyFill="1" applyBorder="1" applyAlignment="1">
      <alignment horizontal="left" vertical="top" wrapText="1"/>
    </xf>
    <xf numFmtId="0" fontId="0" fillId="0" borderId="51" xfId="0" applyFill="1" applyBorder="1" applyAlignment="1">
      <alignment horizontal="left" vertical="top" wrapText="1"/>
    </xf>
    <xf numFmtId="0" fontId="0" fillId="0" borderId="13" xfId="0" applyFill="1" applyBorder="1" applyAlignment="1">
      <alignment horizontal="left" vertical="top" wrapText="1"/>
    </xf>
    <xf numFmtId="0" fontId="0" fillId="0" borderId="2" xfId="0" applyBorder="1" applyAlignment="1">
      <alignment horizontal="left" vertical="top" wrapText="1"/>
    </xf>
    <xf numFmtId="0" fontId="0" fillId="0" borderId="45" xfId="0" applyFill="1"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0" fillId="0" borderId="31" xfId="0" applyBorder="1" applyAlignment="1">
      <alignment horizontal="left" vertical="top" wrapText="1"/>
    </xf>
    <xf numFmtId="0" fontId="0" fillId="0" borderId="5" xfId="0" applyFill="1" applyBorder="1" applyAlignment="1">
      <alignment horizontal="center" vertical="top" wrapText="1"/>
    </xf>
    <xf numFmtId="0" fontId="0" fillId="0" borderId="51" xfId="0" applyFill="1" applyBorder="1" applyAlignment="1">
      <alignment horizontal="center" vertical="top" wrapText="1"/>
    </xf>
    <xf numFmtId="0" fontId="0" fillId="0" borderId="13" xfId="0" applyFill="1" applyBorder="1" applyAlignment="1">
      <alignment horizontal="center" vertical="top" wrapText="1"/>
    </xf>
    <xf numFmtId="0" fontId="0" fillId="14" borderId="18" xfId="0" applyFill="1" applyBorder="1" applyAlignment="1">
      <alignment horizontal="left" vertical="top" wrapText="1"/>
    </xf>
    <xf numFmtId="0" fontId="19" fillId="0" borderId="5" xfId="0" applyFont="1" applyBorder="1" applyAlignment="1">
      <alignment vertical="top" wrapText="1"/>
    </xf>
    <xf numFmtId="0" fontId="19" fillId="0" borderId="13" xfId="0" applyFont="1" applyBorder="1" applyAlignment="1">
      <alignment vertical="top" wrapText="1"/>
    </xf>
    <xf numFmtId="0" fontId="0" fillId="0" borderId="53" xfId="0" applyBorder="1" applyAlignment="1">
      <alignment horizontal="left" vertical="top" wrapText="1"/>
    </xf>
    <xf numFmtId="0" fontId="0" fillId="0" borderId="57" xfId="0" applyBorder="1" applyAlignment="1">
      <alignment horizontal="left" vertical="top" wrapText="1"/>
    </xf>
    <xf numFmtId="0" fontId="0" fillId="0" borderId="58" xfId="0" applyBorder="1" applyAlignment="1">
      <alignment horizontal="left" vertical="top" wrapText="1"/>
    </xf>
    <xf numFmtId="0" fontId="0" fillId="14" borderId="6" xfId="0" applyFill="1" applyBorder="1" applyAlignment="1">
      <alignment horizontal="center"/>
    </xf>
    <xf numFmtId="0" fontId="0" fillId="14" borderId="7" xfId="0" applyFill="1" applyBorder="1" applyAlignment="1">
      <alignment horizontal="center"/>
    </xf>
    <xf numFmtId="0" fontId="0" fillId="14" borderId="8" xfId="0" applyFill="1" applyBorder="1" applyAlignment="1">
      <alignment horizontal="center"/>
    </xf>
    <xf numFmtId="0" fontId="0" fillId="0" borderId="35" xfId="0" applyBorder="1" applyAlignment="1">
      <alignment horizontal="left" vertical="top"/>
    </xf>
    <xf numFmtId="0" fontId="0" fillId="0" borderId="31" xfId="0" applyBorder="1" applyAlignment="1">
      <alignment horizontal="left" vertical="top"/>
    </xf>
    <xf numFmtId="0" fontId="0" fillId="0" borderId="17" xfId="0" applyBorder="1" applyAlignment="1">
      <alignment horizontal="left" vertical="top"/>
    </xf>
    <xf numFmtId="0" fontId="0" fillId="0" borderId="26" xfId="0" applyBorder="1" applyAlignment="1">
      <alignment horizontal="left" vertical="top"/>
    </xf>
    <xf numFmtId="0" fontId="0" fillId="0" borderId="32" xfId="0" applyBorder="1" applyAlignment="1">
      <alignment horizontal="left" vertical="top"/>
    </xf>
    <xf numFmtId="0" fontId="0" fillId="0" borderId="28" xfId="0" applyBorder="1" applyAlignment="1">
      <alignment horizontal="left" vertical="top"/>
    </xf>
    <xf numFmtId="0" fontId="0" fillId="7" borderId="6" xfId="0" applyFill="1" applyBorder="1" applyAlignment="1">
      <alignment horizontal="center"/>
    </xf>
    <xf numFmtId="0" fontId="0" fillId="7" borderId="7" xfId="0" applyFill="1" applyBorder="1" applyAlignment="1">
      <alignment horizontal="center"/>
    </xf>
    <xf numFmtId="0" fontId="0" fillId="7" borderId="8" xfId="0" applyFill="1" applyBorder="1" applyAlignment="1">
      <alignment horizontal="center"/>
    </xf>
    <xf numFmtId="0" fontId="0" fillId="0" borderId="44" xfId="0" applyBorder="1" applyAlignment="1">
      <alignment horizontal="left" vertical="top"/>
    </xf>
    <xf numFmtId="0" fontId="0" fillId="0" borderId="58" xfId="0" applyBorder="1" applyAlignment="1">
      <alignment horizontal="left" vertical="top"/>
    </xf>
    <xf numFmtId="0" fontId="0" fillId="0" borderId="57" xfId="0" applyBorder="1" applyAlignment="1">
      <alignment horizontal="left" vertical="top"/>
    </xf>
  </cellXfs>
  <cellStyles count="4">
    <cellStyle name="Bad" xfId="2" builtinId="27"/>
    <cellStyle name="Good" xfId="1" builtinId="26"/>
    <cellStyle name="Neutral" xfId="3" builtinId="28"/>
    <cellStyle name="Normal" xfId="0" builtinId="0"/>
  </cellStyles>
  <dxfs count="739">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color theme="0" tint="-0.34998626667073579"/>
      </font>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ill>
        <patternFill patternType="solid">
          <bgColor rgb="FFFFFF00"/>
        </patternFill>
      </fill>
    </dxf>
    <dxf>
      <fill>
        <patternFill patternType="solid">
          <bgColor rgb="FFFFFF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38"/>
      <tableStyleElement type="headerRow" dxfId="737"/>
    </tableStyle>
  </tableStyles>
  <colors>
    <mruColors>
      <color rgb="FFFF99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Gantt!$C$2</c:f>
              <c:strCache>
                <c:ptCount val="1"/>
                <c:pt idx="0">
                  <c:v>Start</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Gantt!$C$3:$C$14</c:f>
              <c:numCache>
                <c:formatCode>m/d/yyyy;@</c:formatCode>
                <c:ptCount val="12"/>
                <c:pt idx="0">
                  <c:v>43199</c:v>
                </c:pt>
                <c:pt idx="1">
                  <c:v>43213</c:v>
                </c:pt>
                <c:pt idx="2">
                  <c:v>43220</c:v>
                </c:pt>
                <c:pt idx="3">
                  <c:v>43284</c:v>
                </c:pt>
                <c:pt idx="4">
                  <c:v>43297</c:v>
                </c:pt>
                <c:pt idx="5">
                  <c:v>43314</c:v>
                </c:pt>
                <c:pt idx="6">
                  <c:v>43199</c:v>
                </c:pt>
                <c:pt idx="7">
                  <c:v>43199</c:v>
                </c:pt>
                <c:pt idx="8">
                  <c:v>43200</c:v>
                </c:pt>
                <c:pt idx="9">
                  <c:v>0</c:v>
                </c:pt>
                <c:pt idx="10">
                  <c:v>0</c:v>
                </c:pt>
                <c:pt idx="11">
                  <c:v>0</c:v>
                </c:pt>
              </c:numCache>
            </c:numRef>
          </c:val>
          <c:extLst>
            <c:ext xmlns:c16="http://schemas.microsoft.com/office/drawing/2014/chart" uri="{C3380CC4-5D6E-409C-BE32-E72D297353CC}">
              <c16:uniqueId val="{00000000-0440-425B-A5B3-688264C6C8AE}"/>
            </c:ext>
          </c:extLst>
        </c:ser>
        <c:ser>
          <c:idx val="1"/>
          <c:order val="1"/>
          <c:tx>
            <c:strRef>
              <c:f>Gantt!$D$2</c:f>
              <c:strCache>
                <c:ptCount val="1"/>
                <c:pt idx="0">
                  <c:v>Duration </c:v>
                </c:pt>
              </c:strCache>
            </c:strRef>
          </c:tx>
          <c:spPr>
            <a:solidFill>
              <a:srgbClr val="C00000"/>
            </a:solidFill>
            <a:ln>
              <a:noFill/>
            </a:ln>
            <a:effectLst/>
          </c:spPr>
          <c:invertIfNegative val="0"/>
          <c:dPt>
            <c:idx val="6"/>
            <c:invertIfNegative val="0"/>
            <c:bubble3D val="0"/>
            <c:spPr>
              <a:solidFill>
                <a:schemeClr val="accent1">
                  <a:lumMod val="50000"/>
                </a:schemeClr>
              </a:solidFill>
              <a:ln>
                <a:noFill/>
              </a:ln>
              <a:effectLst/>
            </c:spPr>
            <c:extLst>
              <c:ext xmlns:c16="http://schemas.microsoft.com/office/drawing/2014/chart" uri="{C3380CC4-5D6E-409C-BE32-E72D297353CC}">
                <c16:uniqueId val="{00000002-0440-425B-A5B3-688264C6C8AE}"/>
              </c:ext>
            </c:extLst>
          </c:dPt>
          <c:dPt>
            <c:idx val="7"/>
            <c:invertIfNegative val="0"/>
            <c:bubble3D val="0"/>
            <c:spPr>
              <a:solidFill>
                <a:schemeClr val="accent1">
                  <a:lumMod val="50000"/>
                </a:schemeClr>
              </a:solidFill>
              <a:ln>
                <a:noFill/>
              </a:ln>
              <a:effectLst/>
            </c:spPr>
            <c:extLst>
              <c:ext xmlns:c16="http://schemas.microsoft.com/office/drawing/2014/chart" uri="{C3380CC4-5D6E-409C-BE32-E72D297353CC}">
                <c16:uniqueId val="{00000004-0440-425B-A5B3-688264C6C8AE}"/>
              </c:ext>
            </c:extLst>
          </c:dPt>
          <c:dPt>
            <c:idx val="8"/>
            <c:invertIfNegative val="0"/>
            <c:bubble3D val="0"/>
            <c:spPr>
              <a:solidFill>
                <a:schemeClr val="accent1">
                  <a:lumMod val="50000"/>
                </a:schemeClr>
              </a:solidFill>
              <a:ln>
                <a:noFill/>
              </a:ln>
              <a:effectLst/>
            </c:spPr>
            <c:extLst>
              <c:ext xmlns:c16="http://schemas.microsoft.com/office/drawing/2014/chart" uri="{C3380CC4-5D6E-409C-BE32-E72D297353CC}">
                <c16:uniqueId val="{00000006-0440-425B-A5B3-688264C6C8AE}"/>
              </c:ext>
            </c:extLst>
          </c:dPt>
          <c:dPt>
            <c:idx val="9"/>
            <c:invertIfNegative val="0"/>
            <c:bubble3D val="0"/>
            <c:spPr>
              <a:solidFill>
                <a:schemeClr val="accent1">
                  <a:lumMod val="50000"/>
                </a:schemeClr>
              </a:solidFill>
              <a:ln>
                <a:noFill/>
              </a:ln>
              <a:effectLst/>
            </c:spPr>
            <c:extLst>
              <c:ext xmlns:c16="http://schemas.microsoft.com/office/drawing/2014/chart" uri="{C3380CC4-5D6E-409C-BE32-E72D297353CC}">
                <c16:uniqueId val="{00000008-0440-425B-A5B3-688264C6C8AE}"/>
              </c:ext>
            </c:extLst>
          </c:dPt>
          <c:dPt>
            <c:idx val="10"/>
            <c:invertIfNegative val="0"/>
            <c:bubble3D val="0"/>
            <c:spPr>
              <a:solidFill>
                <a:schemeClr val="accent1">
                  <a:lumMod val="50000"/>
                </a:schemeClr>
              </a:solidFill>
              <a:ln>
                <a:noFill/>
              </a:ln>
              <a:effectLst/>
            </c:spPr>
            <c:extLst>
              <c:ext xmlns:c16="http://schemas.microsoft.com/office/drawing/2014/chart" uri="{C3380CC4-5D6E-409C-BE32-E72D297353CC}">
                <c16:uniqueId val="{0000000A-0440-425B-A5B3-688264C6C8AE}"/>
              </c:ext>
            </c:extLst>
          </c:dPt>
          <c:dPt>
            <c:idx val="11"/>
            <c:invertIfNegative val="0"/>
            <c:bubble3D val="0"/>
            <c:spPr>
              <a:solidFill>
                <a:schemeClr val="accent1">
                  <a:lumMod val="50000"/>
                </a:schemeClr>
              </a:solidFill>
              <a:ln>
                <a:noFill/>
              </a:ln>
              <a:effectLst/>
            </c:spPr>
            <c:extLst>
              <c:ext xmlns:c16="http://schemas.microsoft.com/office/drawing/2014/chart" uri="{C3380CC4-5D6E-409C-BE32-E72D297353CC}">
                <c16:uniqueId val="{0000000C-0440-425B-A5B3-688264C6C8AE}"/>
              </c:ext>
            </c:extLst>
          </c:dPt>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Gantt!$D$3:$D$14</c:f>
              <c:numCache>
                <c:formatCode>General</c:formatCode>
                <c:ptCount val="12"/>
                <c:pt idx="0">
                  <c:v>14</c:v>
                </c:pt>
                <c:pt idx="1">
                  <c:v>7</c:v>
                </c:pt>
                <c:pt idx="2">
                  <c:v>64</c:v>
                </c:pt>
                <c:pt idx="3">
                  <c:v>13</c:v>
                </c:pt>
                <c:pt idx="4">
                  <c:v>17</c:v>
                </c:pt>
                <c:pt idx="5">
                  <c:v>1</c:v>
                </c:pt>
                <c:pt idx="6">
                  <c:v>0</c:v>
                </c:pt>
                <c:pt idx="7">
                  <c:v>1</c:v>
                </c:pt>
                <c:pt idx="8">
                  <c:v>-43200</c:v>
                </c:pt>
                <c:pt idx="9">
                  <c:v>0</c:v>
                </c:pt>
                <c:pt idx="10">
                  <c:v>0</c:v>
                </c:pt>
                <c:pt idx="11">
                  <c:v>0</c:v>
                </c:pt>
              </c:numCache>
            </c:numRef>
          </c:val>
          <c:extLst>
            <c:ext xmlns:c16="http://schemas.microsoft.com/office/drawing/2014/chart" uri="{C3380CC4-5D6E-409C-BE32-E72D297353CC}">
              <c16:uniqueId val="{0000000D-0440-425B-A5B3-688264C6C8AE}"/>
            </c:ext>
          </c:extLst>
        </c:ser>
        <c:dLbls>
          <c:showLegendKey val="0"/>
          <c:showVal val="0"/>
          <c:showCatName val="0"/>
          <c:showSerName val="0"/>
          <c:showPercent val="0"/>
          <c:showBubbleSize val="0"/>
        </c:dLbls>
        <c:gapWidth val="10"/>
        <c:overlap val="100"/>
        <c:axId val="179633680"/>
        <c:axId val="179631720"/>
      </c:barChart>
      <c:catAx>
        <c:axId val="1796336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31720"/>
        <c:crosses val="autoZero"/>
        <c:auto val="1"/>
        <c:lblAlgn val="ctr"/>
        <c:lblOffset val="100"/>
        <c:noMultiLvlLbl val="0"/>
      </c:catAx>
      <c:valAx>
        <c:axId val="179631720"/>
        <c:scaling>
          <c:orientation val="minMax"/>
          <c:min val="43101"/>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33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Gantt!$C$2</c:f>
              <c:strCache>
                <c:ptCount val="1"/>
                <c:pt idx="0">
                  <c:v>Start</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Gantt!$C$3:$C$14</c:f>
              <c:numCache>
                <c:formatCode>m/d/yyyy;@</c:formatCode>
                <c:ptCount val="12"/>
                <c:pt idx="0">
                  <c:v>43199</c:v>
                </c:pt>
                <c:pt idx="1">
                  <c:v>43213</c:v>
                </c:pt>
                <c:pt idx="2">
                  <c:v>43220</c:v>
                </c:pt>
                <c:pt idx="3">
                  <c:v>43284</c:v>
                </c:pt>
                <c:pt idx="4">
                  <c:v>43297</c:v>
                </c:pt>
                <c:pt idx="5">
                  <c:v>43314</c:v>
                </c:pt>
                <c:pt idx="6">
                  <c:v>43199</c:v>
                </c:pt>
                <c:pt idx="7">
                  <c:v>43199</c:v>
                </c:pt>
                <c:pt idx="8">
                  <c:v>43200</c:v>
                </c:pt>
                <c:pt idx="9">
                  <c:v>0</c:v>
                </c:pt>
                <c:pt idx="10">
                  <c:v>0</c:v>
                </c:pt>
                <c:pt idx="11">
                  <c:v>0</c:v>
                </c:pt>
              </c:numCache>
            </c:numRef>
          </c:val>
          <c:extLst>
            <c:ext xmlns:c16="http://schemas.microsoft.com/office/drawing/2014/chart" uri="{C3380CC4-5D6E-409C-BE32-E72D297353CC}">
              <c16:uniqueId val="{00000000-8AE4-41D5-B06F-891580814B04}"/>
            </c:ext>
          </c:extLst>
        </c:ser>
        <c:ser>
          <c:idx val="1"/>
          <c:order val="1"/>
          <c:tx>
            <c:strRef>
              <c:f>Gantt!$D$2</c:f>
              <c:strCache>
                <c:ptCount val="1"/>
                <c:pt idx="0">
                  <c:v>Duration </c:v>
                </c:pt>
              </c:strCache>
            </c:strRef>
          </c:tx>
          <c:spPr>
            <a:solidFill>
              <a:srgbClr val="C00000"/>
            </a:solidFill>
            <a:ln>
              <a:noFill/>
            </a:ln>
            <a:effectLst/>
          </c:spPr>
          <c:invertIfNegative val="0"/>
          <c:dPt>
            <c:idx val="6"/>
            <c:invertIfNegative val="0"/>
            <c:bubble3D val="0"/>
            <c:spPr>
              <a:solidFill>
                <a:schemeClr val="accent1">
                  <a:lumMod val="50000"/>
                </a:schemeClr>
              </a:solidFill>
              <a:ln>
                <a:noFill/>
              </a:ln>
              <a:effectLst/>
            </c:spPr>
            <c:extLst>
              <c:ext xmlns:c16="http://schemas.microsoft.com/office/drawing/2014/chart" uri="{C3380CC4-5D6E-409C-BE32-E72D297353CC}">
                <c16:uniqueId val="{00000002-8AE4-41D5-B06F-891580814B04}"/>
              </c:ext>
            </c:extLst>
          </c:dPt>
          <c:dPt>
            <c:idx val="7"/>
            <c:invertIfNegative val="0"/>
            <c:bubble3D val="0"/>
            <c:spPr>
              <a:solidFill>
                <a:schemeClr val="accent1">
                  <a:lumMod val="50000"/>
                </a:schemeClr>
              </a:solidFill>
              <a:ln>
                <a:noFill/>
              </a:ln>
              <a:effectLst/>
            </c:spPr>
            <c:extLst>
              <c:ext xmlns:c16="http://schemas.microsoft.com/office/drawing/2014/chart" uri="{C3380CC4-5D6E-409C-BE32-E72D297353CC}">
                <c16:uniqueId val="{00000004-8AE4-41D5-B06F-891580814B04}"/>
              </c:ext>
            </c:extLst>
          </c:dPt>
          <c:dPt>
            <c:idx val="8"/>
            <c:invertIfNegative val="0"/>
            <c:bubble3D val="0"/>
            <c:spPr>
              <a:solidFill>
                <a:schemeClr val="accent1">
                  <a:lumMod val="50000"/>
                </a:schemeClr>
              </a:solidFill>
              <a:ln>
                <a:noFill/>
              </a:ln>
              <a:effectLst/>
            </c:spPr>
            <c:extLst>
              <c:ext xmlns:c16="http://schemas.microsoft.com/office/drawing/2014/chart" uri="{C3380CC4-5D6E-409C-BE32-E72D297353CC}">
                <c16:uniqueId val="{00000006-8AE4-41D5-B06F-891580814B04}"/>
              </c:ext>
            </c:extLst>
          </c:dPt>
          <c:dPt>
            <c:idx val="9"/>
            <c:invertIfNegative val="0"/>
            <c:bubble3D val="0"/>
            <c:spPr>
              <a:solidFill>
                <a:schemeClr val="accent1">
                  <a:lumMod val="50000"/>
                </a:schemeClr>
              </a:solidFill>
              <a:ln>
                <a:noFill/>
              </a:ln>
              <a:effectLst/>
            </c:spPr>
            <c:extLst>
              <c:ext xmlns:c16="http://schemas.microsoft.com/office/drawing/2014/chart" uri="{C3380CC4-5D6E-409C-BE32-E72D297353CC}">
                <c16:uniqueId val="{00000008-8AE4-41D5-B06F-891580814B04}"/>
              </c:ext>
            </c:extLst>
          </c:dPt>
          <c:dPt>
            <c:idx val="10"/>
            <c:invertIfNegative val="0"/>
            <c:bubble3D val="0"/>
            <c:spPr>
              <a:solidFill>
                <a:schemeClr val="accent1">
                  <a:lumMod val="50000"/>
                </a:schemeClr>
              </a:solidFill>
              <a:ln>
                <a:noFill/>
              </a:ln>
              <a:effectLst/>
            </c:spPr>
            <c:extLst>
              <c:ext xmlns:c16="http://schemas.microsoft.com/office/drawing/2014/chart" uri="{C3380CC4-5D6E-409C-BE32-E72D297353CC}">
                <c16:uniqueId val="{0000000A-8AE4-41D5-B06F-891580814B04}"/>
              </c:ext>
            </c:extLst>
          </c:dPt>
          <c:dPt>
            <c:idx val="11"/>
            <c:invertIfNegative val="0"/>
            <c:bubble3D val="0"/>
            <c:spPr>
              <a:solidFill>
                <a:schemeClr val="accent1">
                  <a:lumMod val="50000"/>
                </a:schemeClr>
              </a:solidFill>
              <a:ln>
                <a:noFill/>
              </a:ln>
              <a:effectLst/>
            </c:spPr>
            <c:extLst>
              <c:ext xmlns:c16="http://schemas.microsoft.com/office/drawing/2014/chart" uri="{C3380CC4-5D6E-409C-BE32-E72D297353CC}">
                <c16:uniqueId val="{0000000C-8AE4-41D5-B06F-891580814B04}"/>
              </c:ext>
            </c:extLst>
          </c:dPt>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Gantt!$D$3:$D$14</c:f>
              <c:numCache>
                <c:formatCode>General</c:formatCode>
                <c:ptCount val="12"/>
                <c:pt idx="0">
                  <c:v>14</c:v>
                </c:pt>
                <c:pt idx="1">
                  <c:v>7</c:v>
                </c:pt>
                <c:pt idx="2">
                  <c:v>64</c:v>
                </c:pt>
                <c:pt idx="3">
                  <c:v>13</c:v>
                </c:pt>
                <c:pt idx="4">
                  <c:v>17</c:v>
                </c:pt>
                <c:pt idx="5">
                  <c:v>1</c:v>
                </c:pt>
                <c:pt idx="6">
                  <c:v>0</c:v>
                </c:pt>
                <c:pt idx="7">
                  <c:v>1</c:v>
                </c:pt>
                <c:pt idx="8">
                  <c:v>-43200</c:v>
                </c:pt>
                <c:pt idx="9">
                  <c:v>0</c:v>
                </c:pt>
                <c:pt idx="10">
                  <c:v>0</c:v>
                </c:pt>
                <c:pt idx="11">
                  <c:v>0</c:v>
                </c:pt>
              </c:numCache>
            </c:numRef>
          </c:val>
          <c:extLst>
            <c:ext xmlns:c16="http://schemas.microsoft.com/office/drawing/2014/chart" uri="{C3380CC4-5D6E-409C-BE32-E72D297353CC}">
              <c16:uniqueId val="{0000000D-8AE4-41D5-B06F-891580814B04}"/>
            </c:ext>
          </c:extLst>
        </c:ser>
        <c:dLbls>
          <c:showLegendKey val="0"/>
          <c:showVal val="0"/>
          <c:showCatName val="0"/>
          <c:showSerName val="0"/>
          <c:showPercent val="0"/>
          <c:showBubbleSize val="0"/>
        </c:dLbls>
        <c:gapWidth val="10"/>
        <c:overlap val="100"/>
        <c:axId val="179637208"/>
        <c:axId val="179630544"/>
      </c:barChart>
      <c:catAx>
        <c:axId val="1796372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30544"/>
        <c:crosses val="autoZero"/>
        <c:auto val="1"/>
        <c:lblAlgn val="ctr"/>
        <c:lblOffset val="100"/>
        <c:noMultiLvlLbl val="0"/>
      </c:catAx>
      <c:valAx>
        <c:axId val="179630544"/>
        <c:scaling>
          <c:orientation val="minMax"/>
          <c:min val="43101"/>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37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92D050"/>
                </a:solidFill>
              </a:rPr>
              <a:t>Passed Test Cases</a:t>
            </a:r>
          </a:p>
        </c:rich>
      </c:tx>
      <c:layout>
        <c:manualLayout>
          <c:xMode val="edge"/>
          <c:yMode val="edge"/>
          <c:x val="0.2253012048192771"/>
          <c:y val="6.81198910081743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05749460400545"/>
          <c:y val="0.1775946275946276"/>
          <c:w val="0.62421203438395412"/>
          <c:h val="0.79798534798534793"/>
        </c:manualLayout>
      </c:layout>
      <c:doughnutChart>
        <c:varyColors val="1"/>
        <c:ser>
          <c:idx val="0"/>
          <c:order val="0"/>
          <c:tx>
            <c:v>Timeline</c:v>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CEE-49BB-8FA7-70DB59DCC2D1}"/>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BCEE-49BB-8FA7-70DB59DCC2D1}"/>
              </c:ext>
            </c:extLst>
          </c:dPt>
          <c:cat>
            <c:strRef>
              <c:f>'Test Summary'!$A$16:$A$17</c:f>
              <c:strCache>
                <c:ptCount val="2"/>
                <c:pt idx="0">
                  <c:v>Pass</c:v>
                </c:pt>
                <c:pt idx="1">
                  <c:v>Fail&amp;Pending</c:v>
                </c:pt>
              </c:strCache>
            </c:strRef>
          </c:cat>
          <c:val>
            <c:numRef>
              <c:f>'Test Summary'!$B$19:$B$20</c:f>
              <c:numCache>
                <c:formatCode>0</c:formatCode>
                <c:ptCount val="2"/>
                <c:pt idx="0">
                  <c:v>163</c:v>
                </c:pt>
                <c:pt idx="1">
                  <c:v>-114</c:v>
                </c:pt>
              </c:numCache>
            </c:numRef>
          </c:val>
          <c:extLst>
            <c:ext xmlns:c16="http://schemas.microsoft.com/office/drawing/2014/chart" uri="{C3380CC4-5D6E-409C-BE32-E72D297353CC}">
              <c16:uniqueId val="{00000004-BCEE-49BB-8FA7-70DB59DCC2D1}"/>
            </c:ext>
          </c:extLst>
        </c:ser>
        <c:ser>
          <c:idx val="1"/>
          <c:order val="1"/>
          <c:tx>
            <c:v>Test Results</c:v>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6-BCEE-49BB-8FA7-70DB59DCC2D1}"/>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8-BCEE-49BB-8FA7-70DB59DCC2D1}"/>
              </c:ext>
            </c:extLst>
          </c:dPt>
          <c:cat>
            <c:strRef>
              <c:f>'Test Summary'!$A$16:$A$17</c:f>
              <c:strCache>
                <c:ptCount val="2"/>
                <c:pt idx="0">
                  <c:v>Pass</c:v>
                </c:pt>
                <c:pt idx="1">
                  <c:v>Fail&amp;Pending</c:v>
                </c:pt>
              </c:strCache>
            </c:strRef>
          </c:cat>
          <c:val>
            <c:numRef>
              <c:f>'Test Summary'!$B$16:$B$17</c:f>
              <c:numCache>
                <c:formatCode>0.0%</c:formatCode>
                <c:ptCount val="2"/>
                <c:pt idx="0">
                  <c:v>0</c:v>
                </c:pt>
                <c:pt idx="1">
                  <c:v>0</c:v>
                </c:pt>
              </c:numCache>
            </c:numRef>
          </c:val>
          <c:extLst>
            <c:ext xmlns:c16="http://schemas.microsoft.com/office/drawing/2014/chart" uri="{C3380CC4-5D6E-409C-BE32-E72D297353CC}">
              <c16:uniqueId val="{00000009-BCEE-49BB-8FA7-70DB59DCC2D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Test</a:t>
            </a:r>
            <a:r>
              <a:rPr lang="en-US" baseline="0"/>
              <a:t> Cases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'Test Summary'!$B$1</c:f>
              <c:strCache>
                <c:ptCount val="1"/>
                <c:pt idx="0">
                  <c:v>Pass</c:v>
                </c:pt>
              </c:strCache>
            </c:strRef>
          </c:tx>
          <c:spPr>
            <a:solidFill>
              <a:schemeClr val="accent1"/>
            </a:solidFill>
            <a:ln>
              <a:noFill/>
            </a:ln>
            <a:effectLst/>
          </c:spPr>
          <c:invertIfNegative val="0"/>
          <c:cat>
            <c:strRef>
              <c:f>'Test Summary'!$A$2:$A$13</c:f>
              <c:strCache>
                <c:ptCount val="8"/>
                <c:pt idx="0">
                  <c:v>American Express Contact </c:v>
                </c:pt>
                <c:pt idx="1">
                  <c:v>American Express Contactless </c:v>
                </c:pt>
                <c:pt idx="2">
                  <c:v>Discover Contact </c:v>
                </c:pt>
                <c:pt idx="3">
                  <c:v>Discover Contactless </c:v>
                </c:pt>
                <c:pt idx="4">
                  <c:v>MasterCard</c:v>
                </c:pt>
                <c:pt idx="5">
                  <c:v>Visa Contact</c:v>
                </c:pt>
                <c:pt idx="6">
                  <c:v>Visa Contactless</c:v>
                </c:pt>
                <c:pt idx="7">
                  <c:v>Visa US Debit</c:v>
                </c:pt>
              </c:strCache>
            </c:strRef>
          </c:cat>
          <c:val>
            <c:numRef>
              <c:f>'Test Summary'!$B$2:$B$13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DF5-4E6D-89D3-DD45933AAE62}"/>
            </c:ext>
          </c:extLst>
        </c:ser>
        <c:ser>
          <c:idx val="1"/>
          <c:order val="1"/>
          <c:tx>
            <c:strRef>
              <c:f>'Test Summary'!$C$1</c:f>
              <c:strCache>
                <c:ptCount val="1"/>
                <c:pt idx="0">
                  <c:v>Fail</c:v>
                </c:pt>
              </c:strCache>
            </c:strRef>
          </c:tx>
          <c:spPr>
            <a:solidFill>
              <a:schemeClr val="accent2"/>
            </a:solidFill>
            <a:ln>
              <a:noFill/>
            </a:ln>
            <a:effectLst/>
          </c:spPr>
          <c:invertIfNegative val="0"/>
          <c:cat>
            <c:strRef>
              <c:f>'Test Summary'!$A$2:$A$13</c:f>
              <c:strCache>
                <c:ptCount val="8"/>
                <c:pt idx="0">
                  <c:v>American Express Contact </c:v>
                </c:pt>
                <c:pt idx="1">
                  <c:v>American Express Contactless </c:v>
                </c:pt>
                <c:pt idx="2">
                  <c:v>Discover Contact </c:v>
                </c:pt>
                <c:pt idx="3">
                  <c:v>Discover Contactless </c:v>
                </c:pt>
                <c:pt idx="4">
                  <c:v>MasterCard</c:v>
                </c:pt>
                <c:pt idx="5">
                  <c:v>Visa Contact</c:v>
                </c:pt>
                <c:pt idx="6">
                  <c:v>Visa Contactless</c:v>
                </c:pt>
                <c:pt idx="7">
                  <c:v>Visa US Debit</c:v>
                </c:pt>
              </c:strCache>
            </c:strRef>
          </c:cat>
          <c:val>
            <c:numRef>
              <c:f>'Test Summary'!$C$2:$C$13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4DF5-4E6D-89D3-DD45933AAE62}"/>
            </c:ext>
          </c:extLst>
        </c:ser>
        <c:ser>
          <c:idx val="2"/>
          <c:order val="2"/>
          <c:tx>
            <c:strRef>
              <c:f>'Test Summary'!$D$1</c:f>
              <c:strCache>
                <c:ptCount val="1"/>
                <c:pt idx="0">
                  <c:v>Pending</c:v>
                </c:pt>
              </c:strCache>
            </c:strRef>
          </c:tx>
          <c:spPr>
            <a:solidFill>
              <a:schemeClr val="accent3"/>
            </a:solidFill>
            <a:ln>
              <a:noFill/>
            </a:ln>
            <a:effectLst/>
          </c:spPr>
          <c:invertIfNegative val="0"/>
          <c:cat>
            <c:strRef>
              <c:f>'Test Summary'!$A$2:$A$13</c:f>
              <c:strCache>
                <c:ptCount val="8"/>
                <c:pt idx="0">
                  <c:v>American Express Contact </c:v>
                </c:pt>
                <c:pt idx="1">
                  <c:v>American Express Contactless </c:v>
                </c:pt>
                <c:pt idx="2">
                  <c:v>Discover Contact </c:v>
                </c:pt>
                <c:pt idx="3">
                  <c:v>Discover Contactless </c:v>
                </c:pt>
                <c:pt idx="4">
                  <c:v>MasterCard</c:v>
                </c:pt>
                <c:pt idx="5">
                  <c:v>Visa Contact</c:v>
                </c:pt>
                <c:pt idx="6">
                  <c:v>Visa Contactless</c:v>
                </c:pt>
                <c:pt idx="7">
                  <c:v>Visa US Debit</c:v>
                </c:pt>
              </c:strCache>
            </c:strRef>
          </c:cat>
          <c:val>
            <c:numRef>
              <c:f>'Test Summary'!$D$2:$D$13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4DF5-4E6D-89D3-DD45933AAE62}"/>
            </c:ext>
          </c:extLst>
        </c:ser>
        <c:dLbls>
          <c:showLegendKey val="0"/>
          <c:showVal val="0"/>
          <c:showCatName val="0"/>
          <c:showSerName val="0"/>
          <c:showPercent val="0"/>
          <c:showBubbleSize val="0"/>
        </c:dLbls>
        <c:gapWidth val="150"/>
        <c:overlap val="100"/>
        <c:axId val="179635248"/>
        <c:axId val="179632504"/>
      </c:barChart>
      <c:catAx>
        <c:axId val="1796352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32504"/>
        <c:crosses val="autoZero"/>
        <c:auto val="1"/>
        <c:lblAlgn val="ctr"/>
        <c:lblOffset val="100"/>
        <c:noMultiLvlLbl val="0"/>
      </c:catAx>
      <c:valAx>
        <c:axId val="179632504"/>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3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24</xdr:row>
      <xdr:rowOff>99060</xdr:rowOff>
    </xdr:from>
    <xdr:to>
      <xdr:col>1</xdr:col>
      <xdr:colOff>1989330</xdr:colOff>
      <xdr:row>24</xdr:row>
      <xdr:rowOff>1752743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
        <a:srcRect l="67265"/>
        <a:stretch/>
      </xdr:blipFill>
      <xdr:spPr>
        <a:xfrm>
          <a:off x="670560" y="6545580"/>
          <a:ext cx="1928370" cy="1653683"/>
        </a:xfrm>
        <a:prstGeom prst="rect">
          <a:avLst/>
        </a:prstGeom>
        <a:ln w="38100" cap="sq">
          <a:solidFill>
            <a:schemeClr val="accent1"/>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76200</xdr:colOff>
      <xdr:row>22</xdr:row>
      <xdr:rowOff>76200</xdr:rowOff>
    </xdr:from>
    <xdr:to>
      <xdr:col>1</xdr:col>
      <xdr:colOff>2728190</xdr:colOff>
      <xdr:row>22</xdr:row>
      <xdr:rowOff>1150620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2"/>
        <a:srcRect t="32382" b="17444"/>
        <a:stretch/>
      </xdr:blipFill>
      <xdr:spPr>
        <a:xfrm>
          <a:off x="685800" y="4876800"/>
          <a:ext cx="2651990" cy="1074420"/>
        </a:xfrm>
        <a:prstGeom prst="rect">
          <a:avLst/>
        </a:prstGeom>
        <a:ln w="38100" cap="sq">
          <a:solidFill>
            <a:schemeClr val="accent1"/>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xdr:colOff>
      <xdr:row>0</xdr:row>
      <xdr:rowOff>60960</xdr:rowOff>
    </xdr:from>
    <xdr:to>
      <xdr:col>2</xdr:col>
      <xdr:colOff>388620</xdr:colOff>
      <xdr:row>0</xdr:row>
      <xdr:rowOff>613944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64920" y="60960"/>
          <a:ext cx="2164080" cy="552984"/>
        </a:xfrm>
        <a:prstGeom prst="rect">
          <a:avLst/>
        </a:prstGeom>
      </xdr:spPr>
    </xdr:pic>
    <xdr:clientData/>
  </xdr:twoCellAnchor>
  <xdr:twoCellAnchor>
    <xdr:from>
      <xdr:col>4</xdr:col>
      <xdr:colOff>0</xdr:colOff>
      <xdr:row>11</xdr:row>
      <xdr:rowOff>0</xdr:rowOff>
    </xdr:from>
    <xdr:to>
      <xdr:col>9</xdr:col>
      <xdr:colOff>601980</xdr:colOff>
      <xdr:row>26</xdr:row>
      <xdr:rowOff>0</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8</xdr:col>
      <xdr:colOff>281940</xdr:colOff>
      <xdr:row>8</xdr:row>
      <xdr:rowOff>38100</xdr:rowOff>
    </xdr:from>
    <xdr:to>
      <xdr:col>8</xdr:col>
      <xdr:colOff>548640</xdr:colOff>
      <xdr:row>8</xdr:row>
      <xdr:rowOff>152400</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0812780" y="1996440"/>
          <a:ext cx="266700" cy="114300"/>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281940</xdr:colOff>
      <xdr:row>9</xdr:row>
      <xdr:rowOff>45720</xdr:rowOff>
    </xdr:from>
    <xdr:to>
      <xdr:col>8</xdr:col>
      <xdr:colOff>548640</xdr:colOff>
      <xdr:row>9</xdr:row>
      <xdr:rowOff>160020</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0812780" y="2186940"/>
          <a:ext cx="266700" cy="11430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53340</xdr:colOff>
      <xdr:row>0</xdr:row>
      <xdr:rowOff>160020</xdr:rowOff>
    </xdr:from>
    <xdr:to>
      <xdr:col>16</xdr:col>
      <xdr:colOff>419100</xdr:colOff>
      <xdr:row>15</xdr:row>
      <xdr:rowOff>76200</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14</xdr:row>
      <xdr:rowOff>0</xdr:rowOff>
    </xdr:from>
    <xdr:to>
      <xdr:col>10</xdr:col>
      <xdr:colOff>647700</xdr:colOff>
      <xdr:row>29</xdr:row>
      <xdr:rowOff>53340</xdr:rowOff>
    </xdr:to>
    <xdr:graphicFrame macro="">
      <xdr:nvGraphicFramePr>
        <xdr:cNvPr id="19" name="Chart 18">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7620</xdr:rowOff>
    </xdr:from>
    <xdr:to>
      <xdr:col>6</xdr:col>
      <xdr:colOff>0</xdr:colOff>
      <xdr:row>29</xdr:row>
      <xdr:rowOff>76200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0.36103</cdr:x>
      <cdr:y>0.41026</cdr:y>
    </cdr:from>
    <cdr:to>
      <cdr:x>0.67335</cdr:x>
      <cdr:y>0.75092</cdr:y>
    </cdr:to>
    <cdr:sp macro="" textlink="">
      <cdr:nvSpPr>
        <cdr:cNvPr id="2" name="TextBox 1"/>
        <cdr:cNvSpPr txBox="1"/>
      </cdr:nvSpPr>
      <cdr:spPr>
        <a:xfrm xmlns:a="http://schemas.openxmlformats.org/drawingml/2006/main">
          <a:off x="960120" y="853440"/>
          <a:ext cx="830580" cy="708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solidFill>
                <a:schemeClr val="accent5">
                  <a:lumMod val="60000"/>
                  <a:lumOff val="40000"/>
                </a:schemeClr>
              </a:solidFill>
            </a:rPr>
            <a:t>Active Business</a:t>
          </a:r>
          <a:r>
            <a:rPr lang="en-US" sz="1600" b="1" baseline="0">
              <a:solidFill>
                <a:schemeClr val="accent5">
                  <a:lumMod val="60000"/>
                  <a:lumOff val="40000"/>
                </a:schemeClr>
              </a:solidFill>
            </a:rPr>
            <a:t> Days</a:t>
          </a:r>
          <a:endParaRPr lang="en-US" sz="1600" b="1">
            <a:solidFill>
              <a:schemeClr val="accent5">
                <a:lumMod val="60000"/>
                <a:lumOff val="40000"/>
              </a:schemeClr>
            </a:solidFill>
          </a:endParaRPr>
        </a:p>
      </cdr:txBody>
    </cdr:sp>
  </cdr:relSizeAnchor>
</c:userShap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0000000}" name="Table210" displayName="Table210" ref="A1:D36" totalsRowShown="0" headerRowDxfId="647">
  <autoFilter ref="A1:D36" xr:uid="{00000000-0009-0000-0100-000009000000}"/>
  <tableColumns count="4">
    <tableColumn id="1" xr3:uid="{00000000-0010-0000-0000-000001000000}" name="Test Case"/>
    <tableColumn id="2" xr3:uid="{00000000-0010-0000-0000-000002000000}" name="Result"/>
    <tableColumn id="4" xr3:uid="{00000000-0010-0000-0000-000004000000}" name="UL Review" dataDxfId="646"/>
    <tableColumn id="3" xr3:uid="{00000000-0010-0000-0000-000003000000}" name="Assigned to"/>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able21011" displayName="Table21011" ref="A1:D21" totalsRowShown="0" headerRowDxfId="606">
  <autoFilter ref="A1:D21" xr:uid="{00000000-0009-0000-0100-00000A000000}"/>
  <tableColumns count="4">
    <tableColumn id="1" xr3:uid="{00000000-0010-0000-0100-000001000000}" name="Test Case"/>
    <tableColumn id="2" xr3:uid="{00000000-0010-0000-0100-000002000000}" name="Result"/>
    <tableColumn id="4" xr3:uid="{00000000-0010-0000-0100-000004000000}" name="UL Review" dataDxfId="605"/>
    <tableColumn id="3" xr3:uid="{00000000-0010-0000-0100-000003000000}" name="Assigned t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2000000}" name="Table2101118" displayName="Table2101118" ref="A5:D25" totalsRowShown="0" headerRowDxfId="586">
  <autoFilter ref="A5:D25" xr:uid="{00000000-0009-0000-0100-000011000000}"/>
  <tableColumns count="4">
    <tableColumn id="1" xr3:uid="{00000000-0010-0000-0200-000001000000}" name="Test Case"/>
    <tableColumn id="2" xr3:uid="{00000000-0010-0000-0200-000002000000}" name="Result"/>
    <tableColumn id="4" xr3:uid="{00000000-0010-0000-0200-000004000000}" name="UL Review" dataDxfId="585"/>
    <tableColumn id="3" xr3:uid="{00000000-0010-0000-0200-000003000000}" name="Assigned to"/>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D5" totalsRowShown="0" headerRowDxfId="575">
  <autoFilter ref="A1:D5" xr:uid="{00000000-0009-0000-0100-000003000000}"/>
  <tableColumns count="4">
    <tableColumn id="1" xr3:uid="{00000000-0010-0000-0300-000001000000}" name="Test Case"/>
    <tableColumn id="2" xr3:uid="{00000000-0010-0000-0300-000002000000}" name="Result"/>
    <tableColumn id="5" xr3:uid="{00000000-0010-0000-0300-000005000000}" name="UL Review" dataDxfId="574"/>
    <tableColumn id="3" xr3:uid="{00000000-0010-0000-0300-000003000000}" name="Assigned t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32" displayName="Table32" ref="A1:D20" totalsRowShown="0" headerRowDxfId="540">
  <autoFilter ref="A1:D20" xr:uid="{00000000-0009-0000-0100-000001000000}"/>
  <tableColumns count="4">
    <tableColumn id="1" xr3:uid="{00000000-0010-0000-0400-000001000000}" name="Test Case"/>
    <tableColumn id="2" xr3:uid="{00000000-0010-0000-0400-000002000000}" name="Result"/>
    <tableColumn id="5" xr3:uid="{00000000-0010-0000-0400-000005000000}" name="UL Review" dataDxfId="539"/>
    <tableColumn id="3" xr3:uid="{00000000-0010-0000-0400-000003000000}" name="Assigned to"/>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5000000}" name="Table3219" displayName="Table3219" ref="A5:D21" totalsRowShown="0" headerRowDxfId="532">
  <autoFilter ref="A5:D21" xr:uid="{00000000-0009-0000-0100-000012000000}"/>
  <tableColumns count="4">
    <tableColumn id="1" xr3:uid="{00000000-0010-0000-0500-000001000000}" name="Test Case"/>
    <tableColumn id="2" xr3:uid="{00000000-0010-0000-0500-000002000000}" name="Result"/>
    <tableColumn id="5" xr3:uid="{00000000-0010-0000-0500-000005000000}" name="UL Review" dataDxfId="531"/>
    <tableColumn id="3" xr3:uid="{00000000-0010-0000-0500-000003000000}" name="Assigned t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6000000}" name="Table76" displayName="Table76" ref="A1:D86" totalsRowShown="0" headerRowDxfId="368">
  <autoFilter ref="A1:D86" xr:uid="{00000000-0009-0000-0100-000005000000}"/>
  <tableColumns count="4">
    <tableColumn id="1" xr3:uid="{00000000-0010-0000-0600-000001000000}" name="Test Case"/>
    <tableColumn id="2" xr3:uid="{00000000-0010-0000-0600-000002000000}" name="Result"/>
    <tableColumn id="4" xr3:uid="{00000000-0010-0000-0600-000004000000}" name="UL Review" dataDxfId="367"/>
    <tableColumn id="3" xr3:uid="{00000000-0010-0000-0600-000003000000}" name="Assigned to"/>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able7" displayName="Table7" ref="A1:D15" totalsRowShown="0" headerRowDxfId="345">
  <autoFilter ref="A1:D15" xr:uid="{00000000-0009-0000-0100-000007000000}"/>
  <tableColumns count="4">
    <tableColumn id="1" xr3:uid="{00000000-0010-0000-0700-000001000000}" name="Test Case"/>
    <tableColumn id="2" xr3:uid="{00000000-0010-0000-0700-000002000000}" name="Result"/>
    <tableColumn id="4" xr3:uid="{00000000-0010-0000-0700-000004000000}" name="UL Review" dataDxfId="344"/>
    <tableColumn id="3" xr3:uid="{00000000-0010-0000-0700-000003000000}" name="Assigned t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6" displayName="Table6" ref="A1:D13" totalsRowShown="0" headerRowDxfId="331">
  <autoFilter ref="A1:D13" xr:uid="{00000000-0009-0000-0100-000006000000}"/>
  <tableColumns count="4">
    <tableColumn id="1" xr3:uid="{00000000-0010-0000-0800-000001000000}" name="Test Case"/>
    <tableColumn id="2" xr3:uid="{00000000-0010-0000-0800-000002000000}" name="Result"/>
    <tableColumn id="5" xr3:uid="{00000000-0010-0000-0800-000005000000}" name="UL Review" dataDxfId="330"/>
    <tableColumn id="3" xr3:uid="{00000000-0010-0000-0800-000003000000}" name="Assigned to"/>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Table8" displayName="Table8" ref="A1:E9" totalsRowShown="0" headerRowDxfId="314">
  <autoFilter ref="A1:E9" xr:uid="{00000000-0009-0000-0100-000008000000}"/>
  <tableColumns count="5">
    <tableColumn id="1" xr3:uid="{00000000-0010-0000-0900-000001000000}" name="Test Case"/>
    <tableColumn id="2" xr3:uid="{00000000-0010-0000-0900-000002000000}" name="Result"/>
    <tableColumn id="4" xr3:uid="{00000000-0010-0000-0900-000004000000}" name="UL Review" dataDxfId="313"/>
    <tableColumn id="3" xr3:uid="{00000000-0010-0000-0900-000003000000}" name="Assigned to"/>
    <tableColumn id="5" xr3:uid="{00000000-0010-0000-0900-000005000000}" name="Follow Up"/>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21012" displayName="Table21012" ref="A5:D62" totalsRowShown="0" headerRowDxfId="117">
  <autoFilter ref="A5:D62" xr:uid="{00000000-0009-0000-0100-00000B000000}"/>
  <tableColumns count="4">
    <tableColumn id="1" xr3:uid="{00000000-0010-0000-0A00-000001000000}" name="Test Case"/>
    <tableColumn id="2" xr3:uid="{00000000-0010-0000-0A00-000002000000}" name="Result"/>
    <tableColumn id="4" xr3:uid="{00000000-0010-0000-0A00-000004000000}" name="UL Review" dataDxfId="116"/>
    <tableColumn id="3" xr3:uid="{00000000-0010-0000-0A00-000003000000}" name="Assigned to"/>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B000000}" name="Table4" displayName="Table4" ref="A5:D64" totalsRowShown="0" headerRowDxfId="109">
  <autoFilter ref="A5:D64" xr:uid="{00000000-0009-0000-0100-000004000000}"/>
  <tableColumns count="4">
    <tableColumn id="1" xr3:uid="{00000000-0010-0000-0B00-000001000000}" name="Test Case"/>
    <tableColumn id="2" xr3:uid="{00000000-0010-0000-0B00-000002000000}" name="Result"/>
    <tableColumn id="4" xr3:uid="{00000000-0010-0000-0B00-000004000000}" name="UL Review" dataDxfId="108"/>
    <tableColumn id="3" xr3:uid="{00000000-0010-0000-0B00-000003000000}" name="Assigned to"/>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Table2" displayName="Table2" ref="A5:D35" totalsRowShown="0" headerRowDxfId="89">
  <autoFilter ref="A5:D35" xr:uid="{00000000-0009-0000-0100-000002000000}"/>
  <tableColumns count="4">
    <tableColumn id="1" xr3:uid="{00000000-0010-0000-0C00-000001000000}" name="Test Case"/>
    <tableColumn id="2" xr3:uid="{00000000-0010-0000-0C00-000002000000}" name="Result"/>
    <tableColumn id="4" xr3:uid="{00000000-0010-0000-0C00-000004000000}" name="UL Review" dataDxfId="88"/>
    <tableColumn id="3" xr3:uid="{00000000-0010-0000-0C00-000003000000}" name="Assigned to"/>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A8D08D"/>
      </a:accent1>
      <a:accent2>
        <a:srgbClr val="FF9999"/>
      </a:accent2>
      <a:accent3>
        <a:srgbClr val="FFD96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B25"/>
  <sheetViews>
    <sheetView workbookViewId="0">
      <selection activeCell="B13" sqref="B13"/>
    </sheetView>
  </sheetViews>
  <sheetFormatPr defaultRowHeight="14.5" x14ac:dyDescent="0.35"/>
  <cols>
    <col min="2" max="2" width="72.36328125" style="5" customWidth="1"/>
  </cols>
  <sheetData>
    <row r="2" spans="1:2" ht="18.5" x14ac:dyDescent="0.45">
      <c r="B2" s="49" t="s">
        <v>312</v>
      </c>
    </row>
    <row r="4" spans="1:2" x14ac:dyDescent="0.35">
      <c r="B4" s="5" t="s">
        <v>315</v>
      </c>
    </row>
    <row r="6" spans="1:2" x14ac:dyDescent="0.35">
      <c r="B6" s="46" t="s">
        <v>316</v>
      </c>
    </row>
    <row r="7" spans="1:2" x14ac:dyDescent="0.35">
      <c r="B7" s="48" t="s">
        <v>335</v>
      </c>
    </row>
    <row r="8" spans="1:2" x14ac:dyDescent="0.35">
      <c r="B8" s="48" t="s">
        <v>321</v>
      </c>
    </row>
    <row r="10" spans="1:2" x14ac:dyDescent="0.35">
      <c r="B10" s="46" t="s">
        <v>323</v>
      </c>
    </row>
    <row r="11" spans="1:2" ht="29" x14ac:dyDescent="0.35">
      <c r="A11" s="47" t="s">
        <v>320</v>
      </c>
      <c r="B11" s="48" t="s">
        <v>326</v>
      </c>
    </row>
    <row r="12" spans="1:2" ht="43.5" x14ac:dyDescent="0.35">
      <c r="A12" s="47" t="s">
        <v>318</v>
      </c>
      <c r="B12" s="48" t="s">
        <v>319</v>
      </c>
    </row>
    <row r="13" spans="1:2" ht="29" x14ac:dyDescent="0.35">
      <c r="A13" s="47" t="s">
        <v>317</v>
      </c>
      <c r="B13" s="48" t="s">
        <v>325</v>
      </c>
    </row>
    <row r="14" spans="1:2" x14ac:dyDescent="0.35">
      <c r="A14" s="47" t="s">
        <v>322</v>
      </c>
      <c r="B14" s="48" t="s">
        <v>327</v>
      </c>
    </row>
    <row r="16" spans="1:2" x14ac:dyDescent="0.35">
      <c r="B16" s="46" t="s">
        <v>324</v>
      </c>
    </row>
    <row r="17" spans="1:2" x14ac:dyDescent="0.35">
      <c r="B17" s="48" t="s">
        <v>328</v>
      </c>
    </row>
    <row r="19" spans="1:2" x14ac:dyDescent="0.35">
      <c r="B19" s="46" t="s">
        <v>329</v>
      </c>
    </row>
    <row r="20" spans="1:2" x14ac:dyDescent="0.35">
      <c r="A20" t="s">
        <v>330</v>
      </c>
      <c r="B20" s="48" t="s">
        <v>331</v>
      </c>
    </row>
    <row r="21" spans="1:2" ht="29" x14ac:dyDescent="0.35">
      <c r="B21" s="48" t="s">
        <v>334</v>
      </c>
    </row>
    <row r="22" spans="1:2" ht="43.5" x14ac:dyDescent="0.35">
      <c r="B22" s="48" t="s">
        <v>333</v>
      </c>
    </row>
    <row r="23" spans="1:2" ht="100.75" customHeight="1" x14ac:dyDescent="0.35">
      <c r="B23" s="48"/>
    </row>
    <row r="24" spans="1:2" ht="29" x14ac:dyDescent="0.35">
      <c r="B24" s="48" t="s">
        <v>332</v>
      </c>
    </row>
    <row r="25" spans="1:2" ht="148.25" customHeight="1" x14ac:dyDescent="0.35">
      <c r="B25" s="4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26"/>
  <sheetViews>
    <sheetView showGridLines="0" topLeftCell="A2" zoomScaleNormal="100" workbookViewId="0">
      <selection activeCell="H7" sqref="H7"/>
    </sheetView>
  </sheetViews>
  <sheetFormatPr defaultRowHeight="14.5" x14ac:dyDescent="0.35"/>
  <cols>
    <col min="1" max="1" width="17.6328125" customWidth="1"/>
    <col min="2" max="2" width="26" customWidth="1"/>
    <col min="3" max="3" width="21.54296875" bestFit="1" customWidth="1"/>
    <col min="4" max="4" width="10.90625" customWidth="1"/>
    <col min="5" max="5" width="16.36328125" customWidth="1"/>
    <col min="6" max="6" width="24.36328125" customWidth="1"/>
    <col min="7" max="7" width="22.1796875" customWidth="1"/>
    <col min="8" max="8" width="22.54296875" customWidth="1"/>
  </cols>
  <sheetData>
    <row r="1" spans="1:10" ht="48.65" customHeight="1" x14ac:dyDescent="0.35">
      <c r="B1" s="12"/>
      <c r="C1" s="267" t="s">
        <v>256</v>
      </c>
      <c r="D1" s="267"/>
      <c r="E1" s="267"/>
      <c r="F1" s="267"/>
      <c r="G1" s="267"/>
      <c r="H1" s="12" t="s">
        <v>257</v>
      </c>
    </row>
    <row r="2" spans="1:10" x14ac:dyDescent="0.35">
      <c r="B2" s="11"/>
    </row>
    <row r="3" spans="1:10" ht="19.25" customHeight="1" x14ac:dyDescent="0.35">
      <c r="A3" t="s">
        <v>215</v>
      </c>
      <c r="B3" s="19" t="s">
        <v>216</v>
      </c>
      <c r="C3" s="41" t="s">
        <v>506</v>
      </c>
      <c r="E3" t="s">
        <v>239</v>
      </c>
      <c r="F3" s="20" t="s">
        <v>240</v>
      </c>
      <c r="G3" s="44">
        <v>43199</v>
      </c>
      <c r="H3" s="50" t="str">
        <f ca="1">CONCATENATE("Today is ",'Field Options'!D4)</f>
        <v>Today is 11/30/2018</v>
      </c>
    </row>
    <row r="4" spans="1:10" x14ac:dyDescent="0.35">
      <c r="B4" s="13" t="s">
        <v>217</v>
      </c>
      <c r="C4" s="42">
        <v>1678</v>
      </c>
      <c r="F4" s="16"/>
      <c r="G4" s="16" t="s">
        <v>241</v>
      </c>
      <c r="H4" s="16" t="s">
        <v>242</v>
      </c>
    </row>
    <row r="5" spans="1:10" x14ac:dyDescent="0.35">
      <c r="B5" s="13" t="s">
        <v>221</v>
      </c>
      <c r="C5" s="136" t="s">
        <v>507</v>
      </c>
      <c r="F5" s="16" t="s">
        <v>222</v>
      </c>
      <c r="G5" s="45">
        <f>WORKDAY(G3,10,'Field Options'!G$2:G$12)</f>
        <v>43213</v>
      </c>
      <c r="H5" s="43">
        <v>43199</v>
      </c>
    </row>
    <row r="6" spans="1:10" x14ac:dyDescent="0.35">
      <c r="B6" s="13" t="s">
        <v>218</v>
      </c>
      <c r="C6" s="41" t="s">
        <v>223</v>
      </c>
      <c r="F6" s="16" t="s">
        <v>223</v>
      </c>
      <c r="G6" s="45">
        <f>WORKDAY(G5,5,'Field Options'!G$2:G$12)</f>
        <v>43220</v>
      </c>
      <c r="H6" s="43">
        <v>43200</v>
      </c>
    </row>
    <row r="7" spans="1:10" x14ac:dyDescent="0.35">
      <c r="F7" s="16" t="s">
        <v>224</v>
      </c>
      <c r="G7" s="45">
        <f>WORKDAY(G6,45,'Field Options'!G$2:G$12)</f>
        <v>43284</v>
      </c>
      <c r="H7" s="43"/>
    </row>
    <row r="8" spans="1:10" x14ac:dyDescent="0.35">
      <c r="A8" t="s">
        <v>234</v>
      </c>
      <c r="B8" s="17"/>
      <c r="C8" s="16" t="s">
        <v>238</v>
      </c>
      <c r="F8" s="16" t="s">
        <v>225</v>
      </c>
      <c r="G8" s="45">
        <f>WORKDAY(G7,8,'Field Options'!G$2:G$12)</f>
        <v>43297</v>
      </c>
      <c r="H8" s="43"/>
    </row>
    <row r="9" spans="1:10" x14ac:dyDescent="0.35">
      <c r="B9" s="16" t="s">
        <v>235</v>
      </c>
      <c r="C9" s="42" t="s">
        <v>509</v>
      </c>
      <c r="F9" s="16" t="s">
        <v>226</v>
      </c>
      <c r="G9" s="45">
        <f>WORKDAY(G8,13,'Field Options'!G$2:G$12)</f>
        <v>43314</v>
      </c>
      <c r="H9" s="43"/>
      <c r="J9" t="s">
        <v>286</v>
      </c>
    </row>
    <row r="10" spans="1:10" x14ac:dyDescent="0.35">
      <c r="B10" s="16" t="s">
        <v>236</v>
      </c>
      <c r="C10" s="42" t="s">
        <v>508</v>
      </c>
      <c r="F10" s="16" t="s">
        <v>227</v>
      </c>
      <c r="G10" s="45">
        <f>WORKDAY(G9,1,'Field Options'!G$2:G$12)</f>
        <v>43315</v>
      </c>
      <c r="H10" s="43"/>
      <c r="J10" t="s">
        <v>287</v>
      </c>
    </row>
    <row r="11" spans="1:10" x14ac:dyDescent="0.35">
      <c r="B11" s="16" t="s">
        <v>237</v>
      </c>
      <c r="C11" s="42" t="s">
        <v>510</v>
      </c>
    </row>
    <row r="12" spans="1:10" x14ac:dyDescent="0.35">
      <c r="B12" s="16" t="str">
        <f>C3</f>
        <v>Vsecure</v>
      </c>
      <c r="C12" s="42" t="s">
        <v>516</v>
      </c>
    </row>
    <row r="14" spans="1:10" x14ac:dyDescent="0.35">
      <c r="A14" t="s">
        <v>253</v>
      </c>
      <c r="B14" s="16" t="s">
        <v>254</v>
      </c>
      <c r="C14" s="16" t="s">
        <v>255</v>
      </c>
    </row>
    <row r="15" spans="1:10" x14ac:dyDescent="0.35">
      <c r="B15" s="14" t="s">
        <v>262</v>
      </c>
      <c r="C15" s="42" t="s">
        <v>269</v>
      </c>
    </row>
    <row r="16" spans="1:10" x14ac:dyDescent="0.35">
      <c r="B16" s="14" t="s">
        <v>263</v>
      </c>
      <c r="C16" s="42" t="s">
        <v>269</v>
      </c>
    </row>
    <row r="17" spans="2:7" x14ac:dyDescent="0.35">
      <c r="B17" s="14" t="s">
        <v>264</v>
      </c>
      <c r="C17" s="42" t="s">
        <v>268</v>
      </c>
      <c r="G17" s="10"/>
    </row>
    <row r="18" spans="2:7" x14ac:dyDescent="0.35">
      <c r="B18" s="14" t="s">
        <v>265</v>
      </c>
      <c r="C18" s="42" t="s">
        <v>269</v>
      </c>
    </row>
    <row r="19" spans="2:7" x14ac:dyDescent="0.35">
      <c r="B19" s="14" t="s">
        <v>266</v>
      </c>
      <c r="C19" s="42" t="s">
        <v>269</v>
      </c>
    </row>
    <row r="20" spans="2:7" x14ac:dyDescent="0.35">
      <c r="B20" s="14" t="s">
        <v>258</v>
      </c>
      <c r="C20" s="42" t="s">
        <v>268</v>
      </c>
    </row>
    <row r="21" spans="2:7" x14ac:dyDescent="0.35">
      <c r="B21" s="14" t="s">
        <v>154</v>
      </c>
      <c r="C21" s="42" t="s">
        <v>269</v>
      </c>
    </row>
    <row r="22" spans="2:7" x14ac:dyDescent="0.35">
      <c r="B22" s="14" t="s">
        <v>259</v>
      </c>
      <c r="C22" s="42" t="s">
        <v>269</v>
      </c>
    </row>
    <row r="23" spans="2:7" x14ac:dyDescent="0.35">
      <c r="B23" s="14" t="s">
        <v>260</v>
      </c>
      <c r="C23" s="42" t="s">
        <v>269</v>
      </c>
    </row>
    <row r="24" spans="2:7" x14ac:dyDescent="0.35">
      <c r="B24" s="14" t="s">
        <v>261</v>
      </c>
      <c r="C24" s="42" t="s">
        <v>269</v>
      </c>
    </row>
    <row r="25" spans="2:7" x14ac:dyDescent="0.35">
      <c r="B25" s="14" t="s">
        <v>153</v>
      </c>
      <c r="C25" s="42" t="s">
        <v>268</v>
      </c>
    </row>
    <row r="26" spans="2:7" x14ac:dyDescent="0.35">
      <c r="B26" s="14" t="s">
        <v>93</v>
      </c>
      <c r="C26" s="42" t="s">
        <v>268</v>
      </c>
    </row>
  </sheetData>
  <sheetProtection algorithmName="SHA-512" hashValue="NpoPQ8zNVnVI3j/xRIRiHNClDOdvNalk0kTGhnuPBcJzf2JrfoUo0MsPH7AcLDsVRwj07PyRZyO5bhbVVb3klw==" saltValue="XjfMNdOYUO5R/V48BH+srA==" spinCount="100000" sheet="1" objects="1" scenarios="1"/>
  <protectedRanges>
    <protectedRange sqref="C3:C6 C9:C12 C15:C26 H5:H10" name="Range1"/>
  </protectedRanges>
  <mergeCells count="1">
    <mergeCell ref="C1:G1"/>
  </mergeCells>
  <conditionalFormatting sqref="C15">
    <cfRule type="cellIs" dxfId="736" priority="3" operator="equal">
      <formula>"Please select…"</formula>
    </cfRule>
  </conditionalFormatting>
  <conditionalFormatting sqref="C16:C26">
    <cfRule type="cellIs" dxfId="735" priority="2" operator="equal">
      <formula>"Please select…"</formula>
    </cfRule>
  </conditionalFormatting>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0000000}">
          <x14:formula1>
            <xm:f>'Field Options'!$B$3:$B$8</xm:f>
          </x14:formula1>
          <xm:sqref>C6</xm:sqref>
        </x14:dataValidation>
        <x14:dataValidation type="list" allowBlank="1" showInputMessage="1" showErrorMessage="1" xr:uid="{00000000-0002-0000-0100-000001000000}">
          <x14:formula1>
            <xm:f>'Field Options'!$B$36:$B$38</xm:f>
          </x14:formula1>
          <xm:sqref>C15:C26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B2:E17"/>
  <sheetViews>
    <sheetView workbookViewId="0">
      <selection activeCell="F22" sqref="F22"/>
    </sheetView>
  </sheetViews>
  <sheetFormatPr defaultRowHeight="14.5" x14ac:dyDescent="0.35"/>
  <cols>
    <col min="2" max="2" width="21.54296875" customWidth="1"/>
    <col min="3" max="3" width="9.54296875" customWidth="1"/>
    <col min="5" max="5" width="9.54296875" customWidth="1"/>
  </cols>
  <sheetData>
    <row r="2" spans="2:5" x14ac:dyDescent="0.35">
      <c r="B2" t="s">
        <v>270</v>
      </c>
      <c r="C2" t="s">
        <v>156</v>
      </c>
      <c r="D2" t="s">
        <v>271</v>
      </c>
      <c r="E2" t="s">
        <v>272</v>
      </c>
    </row>
    <row r="3" spans="2:5" x14ac:dyDescent="0.35">
      <c r="B3" t="s">
        <v>273</v>
      </c>
      <c r="C3" s="21">
        <f>Overview!G3</f>
        <v>43199</v>
      </c>
      <c r="D3">
        <f>_xlfn.DAYS(E3,C3)</f>
        <v>14</v>
      </c>
      <c r="E3" s="18">
        <f>Overview!G5</f>
        <v>43213</v>
      </c>
    </row>
    <row r="4" spans="2:5" x14ac:dyDescent="0.35">
      <c r="B4" t="s">
        <v>274</v>
      </c>
      <c r="C4" s="21">
        <f>E3</f>
        <v>43213</v>
      </c>
      <c r="D4">
        <f t="shared" ref="D4:D14" si="0">_xlfn.DAYS(E4,C4)</f>
        <v>7</v>
      </c>
      <c r="E4" s="18">
        <f>Overview!G6</f>
        <v>43220</v>
      </c>
    </row>
    <row r="5" spans="2:5" x14ac:dyDescent="0.35">
      <c r="B5" t="s">
        <v>275</v>
      </c>
      <c r="C5" s="21">
        <f t="shared" ref="C5:C8" si="1">E4</f>
        <v>43220</v>
      </c>
      <c r="D5">
        <f t="shared" si="0"/>
        <v>64</v>
      </c>
      <c r="E5" s="18">
        <f>Overview!G7</f>
        <v>43284</v>
      </c>
    </row>
    <row r="6" spans="2:5" x14ac:dyDescent="0.35">
      <c r="B6" t="s">
        <v>276</v>
      </c>
      <c r="C6" s="21">
        <f t="shared" si="1"/>
        <v>43284</v>
      </c>
      <c r="D6">
        <f t="shared" si="0"/>
        <v>13</v>
      </c>
      <c r="E6" s="18">
        <f>Overview!G8</f>
        <v>43297</v>
      </c>
    </row>
    <row r="7" spans="2:5" x14ac:dyDescent="0.35">
      <c r="B7" t="s">
        <v>277</v>
      </c>
      <c r="C7" s="21">
        <f t="shared" si="1"/>
        <v>43297</v>
      </c>
      <c r="D7">
        <f t="shared" si="0"/>
        <v>17</v>
      </c>
      <c r="E7" s="18">
        <f>Overview!G9</f>
        <v>43314</v>
      </c>
    </row>
    <row r="8" spans="2:5" x14ac:dyDescent="0.35">
      <c r="B8" t="s">
        <v>278</v>
      </c>
      <c r="C8" s="21">
        <f t="shared" si="1"/>
        <v>43314</v>
      </c>
      <c r="D8">
        <f t="shared" si="0"/>
        <v>1</v>
      </c>
      <c r="E8" s="18">
        <f>Overview!G10</f>
        <v>43315</v>
      </c>
    </row>
    <row r="9" spans="2:5" x14ac:dyDescent="0.35">
      <c r="B9" t="s">
        <v>279</v>
      </c>
      <c r="C9" s="18">
        <f>C3</f>
        <v>43199</v>
      </c>
      <c r="D9">
        <f t="shared" si="0"/>
        <v>0</v>
      </c>
      <c r="E9" s="18">
        <f>Overview!H5</f>
        <v>43199</v>
      </c>
    </row>
    <row r="10" spans="2:5" x14ac:dyDescent="0.35">
      <c r="B10" t="s">
        <v>280</v>
      </c>
      <c r="C10" s="18">
        <f>E9</f>
        <v>43199</v>
      </c>
      <c r="D10">
        <f t="shared" si="0"/>
        <v>1</v>
      </c>
      <c r="E10" s="18">
        <f>Overview!H6</f>
        <v>43200</v>
      </c>
    </row>
    <row r="11" spans="2:5" x14ac:dyDescent="0.35">
      <c r="B11" t="s">
        <v>281</v>
      </c>
      <c r="C11" s="18">
        <f t="shared" ref="C11:C14" si="2">E10</f>
        <v>43200</v>
      </c>
      <c r="D11">
        <f t="shared" si="0"/>
        <v>-43200</v>
      </c>
      <c r="E11" s="18">
        <f>Overview!H7</f>
        <v>0</v>
      </c>
    </row>
    <row r="12" spans="2:5" x14ac:dyDescent="0.35">
      <c r="B12" t="s">
        <v>282</v>
      </c>
      <c r="C12" s="18">
        <f t="shared" si="2"/>
        <v>0</v>
      </c>
      <c r="D12">
        <f t="shared" si="0"/>
        <v>0</v>
      </c>
      <c r="E12" s="18">
        <f>Overview!H8</f>
        <v>0</v>
      </c>
    </row>
    <row r="13" spans="2:5" x14ac:dyDescent="0.35">
      <c r="B13" t="s">
        <v>283</v>
      </c>
      <c r="C13" s="18">
        <f t="shared" si="2"/>
        <v>0</v>
      </c>
      <c r="D13">
        <f t="shared" si="0"/>
        <v>0</v>
      </c>
      <c r="E13" s="18">
        <f>Overview!H9</f>
        <v>0</v>
      </c>
    </row>
    <row r="14" spans="2:5" x14ac:dyDescent="0.35">
      <c r="B14" t="s">
        <v>284</v>
      </c>
      <c r="C14" s="18">
        <f t="shared" si="2"/>
        <v>0</v>
      </c>
      <c r="D14">
        <f t="shared" si="0"/>
        <v>0</v>
      </c>
      <c r="E14" s="18">
        <f>Overview!H10</f>
        <v>0</v>
      </c>
    </row>
    <row r="16" spans="2:5" x14ac:dyDescent="0.35">
      <c r="B16" t="s">
        <v>157</v>
      </c>
      <c r="C16" s="9">
        <f ca="1">TODAY()</f>
        <v>43434</v>
      </c>
    </row>
    <row r="17" spans="3:3" x14ac:dyDescent="0.35">
      <c r="C17" s="9">
        <f ca="1">TODAY()</f>
        <v>43434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H38"/>
  <sheetViews>
    <sheetView workbookViewId="0">
      <selection activeCell="H12" sqref="H12"/>
    </sheetView>
  </sheetViews>
  <sheetFormatPr defaultRowHeight="14.5" x14ac:dyDescent="0.35"/>
  <cols>
    <col min="2" max="2" width="26.08984375" customWidth="1"/>
    <col min="3" max="3" width="8.1796875" customWidth="1"/>
    <col min="4" max="4" width="20.36328125" customWidth="1"/>
    <col min="6" max="6" width="20.81640625" bestFit="1" customWidth="1"/>
    <col min="7" max="7" width="10.54296875" customWidth="1"/>
    <col min="8" max="8" width="19.453125" customWidth="1"/>
  </cols>
  <sheetData>
    <row r="2" spans="2:8" x14ac:dyDescent="0.35">
      <c r="B2" s="15" t="s">
        <v>218</v>
      </c>
      <c r="D2" s="15" t="s">
        <v>157</v>
      </c>
      <c r="F2" s="15" t="s">
        <v>243</v>
      </c>
      <c r="G2" s="18">
        <v>43101</v>
      </c>
      <c r="H2" t="s">
        <v>244</v>
      </c>
    </row>
    <row r="3" spans="2:8" x14ac:dyDescent="0.35">
      <c r="B3" t="s">
        <v>222</v>
      </c>
      <c r="D3" s="9">
        <f ca="1">TODAY()</f>
        <v>43434</v>
      </c>
      <c r="G3" s="18">
        <v>43115</v>
      </c>
      <c r="H3" t="s">
        <v>245</v>
      </c>
    </row>
    <row r="4" spans="2:8" x14ac:dyDescent="0.35">
      <c r="B4" t="s">
        <v>223</v>
      </c>
      <c r="D4" t="str">
        <f ca="1">TEXT(D3,"MM/DD/YYYY")</f>
        <v>11/30/2018</v>
      </c>
      <c r="G4" s="18">
        <v>43248</v>
      </c>
      <c r="H4" t="s">
        <v>246</v>
      </c>
    </row>
    <row r="5" spans="2:8" x14ac:dyDescent="0.35">
      <c r="B5" t="s">
        <v>224</v>
      </c>
      <c r="G5" s="18">
        <v>43285</v>
      </c>
      <c r="H5" t="s">
        <v>247</v>
      </c>
    </row>
    <row r="6" spans="2:8" x14ac:dyDescent="0.35">
      <c r="B6" t="s">
        <v>225</v>
      </c>
      <c r="G6" s="18">
        <v>43346</v>
      </c>
      <c r="H6" t="s">
        <v>248</v>
      </c>
    </row>
    <row r="7" spans="2:8" x14ac:dyDescent="0.35">
      <c r="B7" t="s">
        <v>226</v>
      </c>
      <c r="G7" s="18">
        <v>43426</v>
      </c>
      <c r="H7" t="s">
        <v>249</v>
      </c>
    </row>
    <row r="8" spans="2:8" x14ac:dyDescent="0.35">
      <c r="B8" t="s">
        <v>227</v>
      </c>
      <c r="G8" s="18">
        <v>43427</v>
      </c>
      <c r="H8" t="s">
        <v>250</v>
      </c>
    </row>
    <row r="9" spans="2:8" x14ac:dyDescent="0.35">
      <c r="G9" s="18">
        <v>43458</v>
      </c>
      <c r="H9" t="s">
        <v>251</v>
      </c>
    </row>
    <row r="10" spans="2:8" x14ac:dyDescent="0.35">
      <c r="B10" s="15" t="s">
        <v>219</v>
      </c>
      <c r="G10" s="18">
        <v>43459</v>
      </c>
      <c r="H10" t="s">
        <v>252</v>
      </c>
    </row>
    <row r="11" spans="2:8" x14ac:dyDescent="0.35">
      <c r="B11" t="s">
        <v>228</v>
      </c>
      <c r="F11" s="15" t="s">
        <v>336</v>
      </c>
      <c r="G11" s="18">
        <v>43150</v>
      </c>
      <c r="H11" t="s">
        <v>337</v>
      </c>
    </row>
    <row r="12" spans="2:8" x14ac:dyDescent="0.35">
      <c r="B12" t="s">
        <v>229</v>
      </c>
      <c r="G12" s="18">
        <v>43416</v>
      </c>
      <c r="H12" t="s">
        <v>338</v>
      </c>
    </row>
    <row r="13" spans="2:8" x14ac:dyDescent="0.35">
      <c r="B13" t="s">
        <v>230</v>
      </c>
      <c r="G13" s="18"/>
    </row>
    <row r="14" spans="2:8" x14ac:dyDescent="0.35">
      <c r="G14" s="18"/>
    </row>
    <row r="15" spans="2:8" x14ac:dyDescent="0.35">
      <c r="B15" s="15" t="s">
        <v>220</v>
      </c>
      <c r="G15" s="18"/>
    </row>
    <row r="16" spans="2:8" x14ac:dyDescent="0.35">
      <c r="B16" t="s">
        <v>232</v>
      </c>
      <c r="G16" s="18"/>
    </row>
    <row r="17" spans="2:7" x14ac:dyDescent="0.35">
      <c r="B17" t="s">
        <v>231</v>
      </c>
      <c r="G17" s="18"/>
    </row>
    <row r="18" spans="2:7" x14ac:dyDescent="0.35">
      <c r="B18" t="s">
        <v>233</v>
      </c>
      <c r="G18" s="18"/>
    </row>
    <row r="19" spans="2:7" x14ac:dyDescent="0.35">
      <c r="G19" s="18"/>
    </row>
    <row r="35" spans="2:2" x14ac:dyDescent="0.35">
      <c r="B35" s="15" t="s">
        <v>267</v>
      </c>
    </row>
    <row r="36" spans="2:2" x14ac:dyDescent="0.35">
      <c r="B36" t="s">
        <v>269</v>
      </c>
    </row>
    <row r="37" spans="2:2" x14ac:dyDescent="0.35">
      <c r="B37" t="s">
        <v>268</v>
      </c>
    </row>
    <row r="38" spans="2:2" x14ac:dyDescent="0.35">
      <c r="B38" t="s">
        <v>309</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N20"/>
  <sheetViews>
    <sheetView showGridLines="0" zoomScaleNormal="100" workbookViewId="0">
      <selection activeCell="H2" sqref="H2"/>
    </sheetView>
  </sheetViews>
  <sheetFormatPr defaultRowHeight="14.5" x14ac:dyDescent="0.35"/>
  <cols>
    <col min="1" max="1" width="26" customWidth="1"/>
    <col min="2" max="2" width="9.08984375" style="23" customWidth="1"/>
    <col min="3" max="3" width="8.81640625" style="23" customWidth="1"/>
    <col min="4" max="4" width="9.81640625" style="23" customWidth="1"/>
    <col min="5" max="5" width="8.81640625" style="23" customWidth="1"/>
    <col min="6" max="6" width="10.81640625" bestFit="1" customWidth="1"/>
    <col min="7" max="7" width="4.54296875" style="58" bestFit="1" customWidth="1"/>
    <col min="8" max="8" width="6" style="58" bestFit="1" customWidth="1"/>
    <col min="9" max="9" width="11.453125" style="58" bestFit="1" customWidth="1"/>
    <col min="10" max="10" width="6" style="58" bestFit="1" customWidth="1"/>
    <col min="11" max="11" width="17.90625" style="58" bestFit="1" customWidth="1"/>
    <col min="12" max="12" width="4" style="58" bestFit="1" customWidth="1"/>
    <col min="13" max="13" width="21.453125" style="58" bestFit="1" customWidth="1"/>
    <col min="14" max="14" width="3.6328125" style="58" bestFit="1" customWidth="1"/>
  </cols>
  <sheetData>
    <row r="1" spans="1:14" ht="23.4" customHeight="1" x14ac:dyDescent="0.35">
      <c r="A1" s="24" t="s">
        <v>254</v>
      </c>
      <c r="B1" s="25" t="s">
        <v>1</v>
      </c>
      <c r="C1" s="26" t="s">
        <v>2</v>
      </c>
      <c r="D1" s="27" t="s">
        <v>3</v>
      </c>
      <c r="E1" s="28" t="s">
        <v>288</v>
      </c>
      <c r="F1" s="38" t="s">
        <v>310</v>
      </c>
      <c r="G1" s="51" t="s">
        <v>1</v>
      </c>
      <c r="H1" s="52" t="e">
        <f>B16</f>
        <v>#REF!</v>
      </c>
      <c r="I1" s="53" t="s">
        <v>311</v>
      </c>
      <c r="J1" s="54" t="e">
        <f>B17</f>
        <v>#REF!</v>
      </c>
      <c r="K1" s="55" t="s">
        <v>313</v>
      </c>
      <c r="L1" s="56">
        <f ca="1">B19</f>
        <v>163</v>
      </c>
      <c r="M1" s="53" t="s">
        <v>314</v>
      </c>
      <c r="N1" s="57">
        <f ca="1">B20</f>
        <v>-114</v>
      </c>
    </row>
    <row r="2" spans="1:14" x14ac:dyDescent="0.35">
      <c r="A2" s="29" t="s">
        <v>262</v>
      </c>
      <c r="B2" s="30" t="e">
        <f>'AMEX CT'!#REF!*F2</f>
        <v>#REF!</v>
      </c>
      <c r="C2" s="31" t="e">
        <f>'AMEX CT'!#REF!*F2</f>
        <v>#REF!</v>
      </c>
      <c r="D2" s="32" t="e">
        <f>'AMEX CT'!#REF!*F2</f>
        <v>#REF!</v>
      </c>
      <c r="E2" s="33" t="e">
        <f>'AMEX CT'!#REF!*F2</f>
        <v>#REF!</v>
      </c>
      <c r="F2" s="38">
        <f>IF(Overview!C15="Yes",1,0)</f>
        <v>1</v>
      </c>
    </row>
    <row r="3" spans="1:14" x14ac:dyDescent="0.35">
      <c r="A3" s="29" t="s">
        <v>263</v>
      </c>
      <c r="B3" s="30" t="e">
        <f>'AMEX CTL'!#REF!*F3</f>
        <v>#REF!</v>
      </c>
      <c r="C3" s="31" t="e">
        <f>'AMEX CTL'!#REF!*F3</f>
        <v>#REF!</v>
      </c>
      <c r="D3" s="32" t="e">
        <f>'AMEX CTL'!#REF!*F3</f>
        <v>#REF!</v>
      </c>
      <c r="E3" s="33" t="e">
        <f>'AMEX CTL'!#REF!*F3</f>
        <v>#REF!</v>
      </c>
      <c r="F3" s="38">
        <f>IF(Overview!C16="Yes",1,0)</f>
        <v>1</v>
      </c>
    </row>
    <row r="4" spans="1:14" hidden="1" x14ac:dyDescent="0.35">
      <c r="A4" s="29" t="s">
        <v>264</v>
      </c>
      <c r="B4" s="30">
        <f>'AMEX QC'!B1*F4</f>
        <v>0</v>
      </c>
      <c r="C4" s="31">
        <f>'AMEX QC'!B2*F4</f>
        <v>0</v>
      </c>
      <c r="D4" s="32">
        <f>'AMEX QC'!B3*F4</f>
        <v>0</v>
      </c>
      <c r="E4" s="33">
        <f>'AMEX QC'!B4*F4</f>
        <v>0</v>
      </c>
      <c r="F4" s="38">
        <f>IF(Overview!C17="Yes",1,0)</f>
        <v>0</v>
      </c>
    </row>
    <row r="5" spans="1:14" x14ac:dyDescent="0.35">
      <c r="A5" s="29" t="s">
        <v>265</v>
      </c>
      <c r="B5" s="30" t="e">
        <f>'Discover CT'!#REF!*F5</f>
        <v>#REF!</v>
      </c>
      <c r="C5" s="31" t="e">
        <f>'Discover CT'!#REF!*F5</f>
        <v>#REF!</v>
      </c>
      <c r="D5" s="32" t="e">
        <f>'Discover CT'!#REF!*F5</f>
        <v>#REF!</v>
      </c>
      <c r="E5" s="33" t="e">
        <f>'Discover CT'!#REF!*F5</f>
        <v>#REF!</v>
      </c>
      <c r="F5" s="38">
        <f>IF(Overview!C18="Yes",1,0)</f>
        <v>1</v>
      </c>
    </row>
    <row r="6" spans="1:14" x14ac:dyDescent="0.35">
      <c r="A6" s="29" t="s">
        <v>266</v>
      </c>
      <c r="B6" s="30" t="e">
        <f>'Discover CTL'!#REF!*F6</f>
        <v>#REF!</v>
      </c>
      <c r="C6" s="31" t="e">
        <f>'Discover CTL'!#REF!*F6</f>
        <v>#REF!</v>
      </c>
      <c r="D6" s="32" t="e">
        <f>'Discover CTL'!#REF!*F6</f>
        <v>#REF!</v>
      </c>
      <c r="E6" s="33" t="e">
        <f>'Discover CTL'!#REF!*F6</f>
        <v>#REF!</v>
      </c>
      <c r="F6" s="38">
        <f>IF(Overview!C19="Yes",1,0)</f>
        <v>1</v>
      </c>
    </row>
    <row r="7" spans="1:14" hidden="1" x14ac:dyDescent="0.35">
      <c r="A7" s="29" t="s">
        <v>258</v>
      </c>
      <c r="B7" s="30">
        <f>'FD Superset'!B1*F7</f>
        <v>0</v>
      </c>
      <c r="C7" s="31">
        <f>'FD Superset'!B2*F7</f>
        <v>0</v>
      </c>
      <c r="D7" s="32">
        <f>'FD Superset'!B3*F7</f>
        <v>0</v>
      </c>
      <c r="E7" s="33">
        <f>'FD Superset'!B4*F7</f>
        <v>0</v>
      </c>
      <c r="F7" s="38">
        <f>IF(Overview!C20="Yes",1,0)</f>
        <v>0</v>
      </c>
    </row>
    <row r="8" spans="1:14" x14ac:dyDescent="0.35">
      <c r="A8" s="29" t="s">
        <v>154</v>
      </c>
      <c r="B8" s="30" t="e">
        <f>MasterCard!#REF!*F8</f>
        <v>#REF!</v>
      </c>
      <c r="C8" s="31" t="e">
        <f>MasterCard!#REF!*F8</f>
        <v>#REF!</v>
      </c>
      <c r="D8" s="32" t="e">
        <f>MasterCard!#REF!*F8</f>
        <v>#REF!</v>
      </c>
      <c r="E8" s="33" t="e">
        <f>MasterCard!#REF!*F8</f>
        <v>#REF!</v>
      </c>
      <c r="F8" s="38">
        <f>IF(Overview!C21="Yes",1,0)</f>
        <v>1</v>
      </c>
    </row>
    <row r="9" spans="1:14" x14ac:dyDescent="0.35">
      <c r="A9" s="29" t="s">
        <v>259</v>
      </c>
      <c r="B9" s="30" t="e">
        <f>'VISA CT'!#REF!*F9</f>
        <v>#REF!</v>
      </c>
      <c r="C9" s="31" t="e">
        <f>'VISA CT'!#REF!*F9</f>
        <v>#REF!</v>
      </c>
      <c r="D9" s="32" t="e">
        <f>'VISA CT'!#REF!*F9</f>
        <v>#REF!</v>
      </c>
      <c r="E9" s="33" t="e">
        <f>'VISA CT'!#REF!*F9</f>
        <v>#REF!</v>
      </c>
      <c r="F9" s="38">
        <f>IF(Overview!C22="Yes",1,0)</f>
        <v>1</v>
      </c>
    </row>
    <row r="10" spans="1:14" x14ac:dyDescent="0.35">
      <c r="A10" s="29" t="s">
        <v>260</v>
      </c>
      <c r="B10" s="30" t="e">
        <f>'VISA CTL'!#REF!*F10</f>
        <v>#REF!</v>
      </c>
      <c r="C10" s="31" t="e">
        <f>'VISA CTL'!#REF!*F10</f>
        <v>#REF!</v>
      </c>
      <c r="D10" s="32" t="e">
        <f>'VISA CTL'!#REF!*F10</f>
        <v>#REF!</v>
      </c>
      <c r="E10" s="33" t="e">
        <f>'VISA CTL'!#REF!*F10</f>
        <v>#REF!</v>
      </c>
      <c r="F10" s="38">
        <f>IF(Overview!C23="Yes",1,0)</f>
        <v>1</v>
      </c>
    </row>
    <row r="11" spans="1:14" x14ac:dyDescent="0.35">
      <c r="A11" s="29" t="s">
        <v>261</v>
      </c>
      <c r="B11" s="30" t="e">
        <f>'VISA US Debit'!#REF!*F11</f>
        <v>#REF!</v>
      </c>
      <c r="C11" s="31" t="e">
        <f>'VISA US Debit'!#REF!*F11</f>
        <v>#REF!</v>
      </c>
      <c r="D11" s="32" t="e">
        <f>'VISA US Debit'!#REF!*F11</f>
        <v>#REF!</v>
      </c>
      <c r="E11" s="33" t="e">
        <f>'VISA US Debit'!#REF!*F11</f>
        <v>#REF!</v>
      </c>
      <c r="F11" s="38">
        <f>IF(Overview!C24="Yes",1,0)</f>
        <v>1</v>
      </c>
    </row>
    <row r="12" spans="1:14" hidden="1" x14ac:dyDescent="0.35">
      <c r="A12" s="29" t="s">
        <v>153</v>
      </c>
      <c r="B12" s="30">
        <f>Interac!B1*F12</f>
        <v>0</v>
      </c>
      <c r="C12" s="31">
        <f>Interac!B2*F12</f>
        <v>0</v>
      </c>
      <c r="D12" s="32">
        <f>Interac!B3*F12</f>
        <v>0</v>
      </c>
      <c r="E12" s="33">
        <f>Interac!B4*F12</f>
        <v>0</v>
      </c>
      <c r="F12" s="38">
        <f>IF(Overview!C25="Yes",1,0)</f>
        <v>0</v>
      </c>
    </row>
    <row r="13" spans="1:14" hidden="1" x14ac:dyDescent="0.35">
      <c r="A13" s="22" t="s">
        <v>93</v>
      </c>
      <c r="B13" s="34">
        <f>DNA!B1*F13</f>
        <v>0</v>
      </c>
      <c r="C13" s="35">
        <f>DNA!B2*F13</f>
        <v>0</v>
      </c>
      <c r="D13" s="36">
        <f>DNA!B3*F13</f>
        <v>0</v>
      </c>
      <c r="E13" s="37">
        <f>DNA!B4*F13</f>
        <v>0</v>
      </c>
      <c r="F13" s="38">
        <f>IF(Overview!C26="Yes",1,0)</f>
        <v>0</v>
      </c>
    </row>
    <row r="14" spans="1:14" x14ac:dyDescent="0.35">
      <c r="G14" s="59"/>
    </row>
    <row r="16" spans="1:14" x14ac:dyDescent="0.35">
      <c r="A16" t="s">
        <v>1</v>
      </c>
      <c r="B16" s="39" t="e">
        <f>SUM(B$2:B$13)/SUM(E$2:E$13)</f>
        <v>#REF!</v>
      </c>
    </row>
    <row r="17" spans="1:2" x14ac:dyDescent="0.35">
      <c r="A17" t="s">
        <v>311</v>
      </c>
      <c r="B17" s="39" t="e">
        <f>1-B16</f>
        <v>#REF!</v>
      </c>
    </row>
    <row r="19" spans="1:2" x14ac:dyDescent="0.35">
      <c r="A19" t="s">
        <v>158</v>
      </c>
      <c r="B19" s="40">
        <f ca="1">NETWORKDAYS(Overview!H6,TODAY(),'Field Options'!G2:G12)</f>
        <v>163</v>
      </c>
    </row>
    <row r="20" spans="1:2" x14ac:dyDescent="0.35">
      <c r="A20" t="s">
        <v>159</v>
      </c>
      <c r="B20" s="40">
        <f ca="1">NETWORKDAYS(TODAY(),Overview!G7,'Field Options'!G2:G12)-10</f>
        <v>-114</v>
      </c>
    </row>
  </sheetData>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48"/>
  <sheetViews>
    <sheetView tabSelected="1" workbookViewId="0">
      <selection activeCell="A2" sqref="A2"/>
    </sheetView>
  </sheetViews>
  <sheetFormatPr defaultRowHeight="14.5" x14ac:dyDescent="0.35"/>
  <cols>
    <col min="1" max="1" width="13" customWidth="1"/>
    <col min="3" max="3" width="73.453125" style="5" customWidth="1"/>
    <col min="4" max="4" width="12.90625" bestFit="1" customWidth="1"/>
    <col min="5" max="5" width="44.1796875" customWidth="1"/>
  </cols>
  <sheetData>
    <row r="1" spans="1:5" x14ac:dyDescent="0.35">
      <c r="A1" s="4" t="s">
        <v>0</v>
      </c>
      <c r="B1" s="4" t="s">
        <v>5</v>
      </c>
      <c r="C1" s="6" t="s">
        <v>187</v>
      </c>
      <c r="D1" s="4" t="s">
        <v>285</v>
      </c>
      <c r="E1" s="137" t="s">
        <v>515</v>
      </c>
    </row>
    <row r="2" spans="1:5" x14ac:dyDescent="0.35">
      <c r="A2" t="s">
        <v>1169</v>
      </c>
      <c r="B2" t="s">
        <v>1</v>
      </c>
      <c r="C2" s="7" t="s">
        <v>604</v>
      </c>
      <c r="D2" t="s">
        <v>516</v>
      </c>
    </row>
    <row r="3" spans="1:5" ht="58" x14ac:dyDescent="0.35">
      <c r="A3" t="s">
        <v>1170</v>
      </c>
      <c r="B3" t="s">
        <v>2</v>
      </c>
      <c r="C3" s="7" t="s">
        <v>661</v>
      </c>
    </row>
    <row r="4" spans="1:5" ht="58" x14ac:dyDescent="0.35">
      <c r="A4" t="s">
        <v>1171</v>
      </c>
      <c r="B4" t="s">
        <v>2</v>
      </c>
      <c r="C4" s="7" t="s">
        <v>635</v>
      </c>
    </row>
    <row r="5" spans="1:5" x14ac:dyDescent="0.35">
      <c r="A5" t="s">
        <v>1172</v>
      </c>
      <c r="B5" t="s">
        <v>1</v>
      </c>
      <c r="C5" s="7" t="s">
        <v>602</v>
      </c>
      <c r="E5" s="8"/>
    </row>
    <row r="6" spans="1:5" x14ac:dyDescent="0.35">
      <c r="A6" t="s">
        <v>1173</v>
      </c>
      <c r="B6" t="s">
        <v>1</v>
      </c>
      <c r="C6" s="7" t="s">
        <v>602</v>
      </c>
    </row>
    <row r="7" spans="1:5" x14ac:dyDescent="0.35">
      <c r="A7" t="s">
        <v>1174</v>
      </c>
      <c r="B7" t="s">
        <v>1</v>
      </c>
      <c r="C7" s="7" t="s">
        <v>602</v>
      </c>
    </row>
    <row r="8" spans="1:5" x14ac:dyDescent="0.35">
      <c r="A8" t="s">
        <v>1175</v>
      </c>
      <c r="B8" t="s">
        <v>1</v>
      </c>
      <c r="C8" s="5" t="s">
        <v>641</v>
      </c>
    </row>
    <row r="9" spans="1:5" ht="72.5" x14ac:dyDescent="0.35">
      <c r="A9" t="s">
        <v>607</v>
      </c>
      <c r="B9" t="s">
        <v>2</v>
      </c>
      <c r="C9" s="5" t="s">
        <v>608</v>
      </c>
    </row>
    <row r="10" spans="1:5" x14ac:dyDescent="0.35">
      <c r="A10" t="s">
        <v>1176</v>
      </c>
      <c r="B10" t="s">
        <v>1</v>
      </c>
      <c r="C10" s="5" t="s">
        <v>609</v>
      </c>
    </row>
    <row r="11" spans="1:5" x14ac:dyDescent="0.35">
      <c r="A11" t="s">
        <v>1177</v>
      </c>
      <c r="B11" t="s">
        <v>1</v>
      </c>
      <c r="C11" s="5" t="s">
        <v>609</v>
      </c>
    </row>
    <row r="12" spans="1:5" x14ac:dyDescent="0.35">
      <c r="A12" t="s">
        <v>1178</v>
      </c>
      <c r="B12" t="s">
        <v>1</v>
      </c>
      <c r="C12" s="5" t="s">
        <v>609</v>
      </c>
    </row>
    <row r="13" spans="1:5" ht="29" x14ac:dyDescent="0.35">
      <c r="A13" t="s">
        <v>1179</v>
      </c>
      <c r="B13" t="s">
        <v>1</v>
      </c>
      <c r="C13" s="5" t="s">
        <v>620</v>
      </c>
    </row>
    <row r="14" spans="1:5" x14ac:dyDescent="0.35">
      <c r="A14" t="s">
        <v>1180</v>
      </c>
      <c r="B14" t="s">
        <v>1</v>
      </c>
      <c r="C14" s="5" t="s">
        <v>609</v>
      </c>
    </row>
    <row r="15" spans="1:5" ht="101.5" x14ac:dyDescent="0.35">
      <c r="A15" t="s">
        <v>613</v>
      </c>
      <c r="B15" t="s">
        <v>2</v>
      </c>
      <c r="C15" s="5" t="s">
        <v>1138</v>
      </c>
    </row>
    <row r="16" spans="1:5" x14ac:dyDescent="0.35">
      <c r="A16" t="s">
        <v>1181</v>
      </c>
      <c r="B16" t="s">
        <v>1</v>
      </c>
      <c r="C16" s="5" t="s">
        <v>609</v>
      </c>
    </row>
    <row r="17" spans="1:3" ht="72.5" x14ac:dyDescent="0.35">
      <c r="A17" t="s">
        <v>1182</v>
      </c>
      <c r="B17" t="s">
        <v>2</v>
      </c>
      <c r="C17" s="5" t="s">
        <v>1135</v>
      </c>
    </row>
    <row r="18" spans="1:3" x14ac:dyDescent="0.35">
      <c r="A18" t="s">
        <v>1183</v>
      </c>
      <c r="B18" t="s">
        <v>1</v>
      </c>
      <c r="C18" s="5" t="s">
        <v>609</v>
      </c>
    </row>
    <row r="19" spans="1:3" x14ac:dyDescent="0.35">
      <c r="A19" t="s">
        <v>1184</v>
      </c>
      <c r="B19" t="s">
        <v>1</v>
      </c>
      <c r="C19" s="5" t="s">
        <v>609</v>
      </c>
    </row>
    <row r="20" spans="1:3" ht="29" x14ac:dyDescent="0.35">
      <c r="A20" t="s">
        <v>1185</v>
      </c>
      <c r="B20" t="s">
        <v>2</v>
      </c>
      <c r="C20" s="5" t="s">
        <v>675</v>
      </c>
    </row>
    <row r="21" spans="1:3" x14ac:dyDescent="0.35">
      <c r="A21" t="s">
        <v>1186</v>
      </c>
      <c r="B21" t="s">
        <v>1</v>
      </c>
      <c r="C21" s="5" t="s">
        <v>609</v>
      </c>
    </row>
    <row r="22" spans="1:3" x14ac:dyDescent="0.35">
      <c r="A22" t="s">
        <v>348</v>
      </c>
      <c r="B22" t="s">
        <v>1</v>
      </c>
      <c r="C22" s="5" t="s">
        <v>610</v>
      </c>
    </row>
    <row r="23" spans="1:3" ht="72.5" x14ac:dyDescent="0.35">
      <c r="A23" t="s">
        <v>349</v>
      </c>
      <c r="B23" t="s">
        <v>2</v>
      </c>
      <c r="C23" s="5" t="s">
        <v>1136</v>
      </c>
    </row>
    <row r="24" spans="1:3" x14ac:dyDescent="0.35">
      <c r="A24" t="s">
        <v>649</v>
      </c>
      <c r="B24" t="s">
        <v>1</v>
      </c>
      <c r="C24" s="5" t="s">
        <v>654</v>
      </c>
    </row>
    <row r="25" spans="1:3" ht="87" x14ac:dyDescent="0.35">
      <c r="A25" t="s">
        <v>1187</v>
      </c>
      <c r="B25" t="s">
        <v>2</v>
      </c>
      <c r="C25" s="5" t="s">
        <v>655</v>
      </c>
    </row>
    <row r="26" spans="1:3" x14ac:dyDescent="0.35">
      <c r="A26" t="s">
        <v>1188</v>
      </c>
      <c r="B26" t="s">
        <v>1</v>
      </c>
      <c r="C26" s="5" t="s">
        <v>609</v>
      </c>
    </row>
    <row r="27" spans="1:3" ht="72.5" x14ac:dyDescent="0.35">
      <c r="A27" t="s">
        <v>350</v>
      </c>
      <c r="B27" t="s">
        <v>2</v>
      </c>
      <c r="C27" s="5" t="s">
        <v>662</v>
      </c>
    </row>
    <row r="28" spans="1:3" ht="87" x14ac:dyDescent="0.35">
      <c r="A28" t="s">
        <v>1189</v>
      </c>
      <c r="B28" t="s">
        <v>2</v>
      </c>
      <c r="C28" s="5" t="s">
        <v>656</v>
      </c>
    </row>
    <row r="29" spans="1:3" ht="87" x14ac:dyDescent="0.35">
      <c r="A29" t="s">
        <v>1190</v>
      </c>
      <c r="B29" t="s">
        <v>2</v>
      </c>
      <c r="C29" s="5" t="s">
        <v>656</v>
      </c>
    </row>
    <row r="30" spans="1:3" ht="29" x14ac:dyDescent="0.35">
      <c r="A30" t="s">
        <v>1191</v>
      </c>
      <c r="B30" t="s">
        <v>2</v>
      </c>
      <c r="C30" s="5" t="s">
        <v>642</v>
      </c>
    </row>
    <row r="31" spans="1:3" x14ac:dyDescent="0.35">
      <c r="A31" t="s">
        <v>1192</v>
      </c>
      <c r="B31" t="s">
        <v>1</v>
      </c>
      <c r="C31" s="5" t="s">
        <v>1107</v>
      </c>
    </row>
    <row r="32" spans="1:3" ht="43.5" x14ac:dyDescent="0.35">
      <c r="A32" t="s">
        <v>351</v>
      </c>
      <c r="B32" t="s">
        <v>2</v>
      </c>
      <c r="C32" s="5" t="s">
        <v>663</v>
      </c>
    </row>
    <row r="33" spans="1:3" ht="29" x14ac:dyDescent="0.35">
      <c r="A33" t="s">
        <v>1193</v>
      </c>
      <c r="B33" t="s">
        <v>2</v>
      </c>
      <c r="C33" s="5" t="s">
        <v>650</v>
      </c>
    </row>
    <row r="34" spans="1:3" ht="43.5" x14ac:dyDescent="0.35">
      <c r="A34" t="s">
        <v>1194</v>
      </c>
      <c r="B34" t="s">
        <v>2</v>
      </c>
      <c r="C34" s="5" t="s">
        <v>622</v>
      </c>
    </row>
    <row r="35" spans="1:3" ht="43.5" x14ac:dyDescent="0.35">
      <c r="A35" t="s">
        <v>1195</v>
      </c>
      <c r="B35" t="s">
        <v>2</v>
      </c>
      <c r="C35" s="5" t="s">
        <v>622</v>
      </c>
    </row>
    <row r="36" spans="1:3" ht="43.5" x14ac:dyDescent="0.35">
      <c r="A36" t="s">
        <v>1196</v>
      </c>
      <c r="B36" t="s">
        <v>2</v>
      </c>
      <c r="C36" s="5" t="s">
        <v>1108</v>
      </c>
    </row>
    <row r="40" spans="1:3" x14ac:dyDescent="0.35">
      <c r="A40" s="154"/>
    </row>
    <row r="41" spans="1:3" x14ac:dyDescent="0.35">
      <c r="A41" s="154"/>
    </row>
    <row r="42" spans="1:3" x14ac:dyDescent="0.35">
      <c r="A42" s="154"/>
    </row>
    <row r="43" spans="1:3" x14ac:dyDescent="0.35">
      <c r="A43" s="154"/>
    </row>
    <row r="44" spans="1:3" x14ac:dyDescent="0.35">
      <c r="A44" s="154"/>
    </row>
    <row r="45" spans="1:3" x14ac:dyDescent="0.35">
      <c r="A45" s="154"/>
    </row>
    <row r="46" spans="1:3" x14ac:dyDescent="0.35">
      <c r="A46" s="154"/>
    </row>
    <row r="47" spans="1:3" x14ac:dyDescent="0.35">
      <c r="A47" s="154"/>
    </row>
    <row r="48" spans="1:3" x14ac:dyDescent="0.35">
      <c r="A48" s="154"/>
    </row>
  </sheetData>
  <conditionalFormatting sqref="A3:A19 A32:A36">
    <cfRule type="expression" dxfId="734" priority="86">
      <formula>B3="Fail"</formula>
    </cfRule>
    <cfRule type="expression" dxfId="733" priority="87">
      <formula>B3="Pending"</formula>
    </cfRule>
  </conditionalFormatting>
  <conditionalFormatting sqref="A3:A19 A32:A36">
    <cfRule type="expression" dxfId="732" priority="85">
      <formula>B3="Pass"</formula>
    </cfRule>
  </conditionalFormatting>
  <conditionalFormatting sqref="A2">
    <cfRule type="expression" dxfId="731" priority="83">
      <formula>B2="Fail"</formula>
    </cfRule>
    <cfRule type="expression" dxfId="730" priority="84">
      <formula>B2="Pending"</formula>
    </cfRule>
  </conditionalFormatting>
  <conditionalFormatting sqref="A2">
    <cfRule type="expression" dxfId="729" priority="82">
      <formula>B2="Pass"</formula>
    </cfRule>
  </conditionalFormatting>
  <conditionalFormatting sqref="A20">
    <cfRule type="expression" dxfId="728" priority="80">
      <formula>B20="Fail"</formula>
    </cfRule>
    <cfRule type="expression" dxfId="727" priority="81">
      <formula>B20="Pending"</formula>
    </cfRule>
  </conditionalFormatting>
  <conditionalFormatting sqref="A20">
    <cfRule type="expression" dxfId="726" priority="79">
      <formula>B20="Pass"</formula>
    </cfRule>
  </conditionalFormatting>
  <conditionalFormatting sqref="A21">
    <cfRule type="expression" dxfId="725" priority="77">
      <formula>B21="Fail"</formula>
    </cfRule>
    <cfRule type="expression" dxfId="724" priority="78">
      <formula>B21="Pending"</formula>
    </cfRule>
  </conditionalFormatting>
  <conditionalFormatting sqref="A21">
    <cfRule type="expression" dxfId="723" priority="76">
      <formula>B21="Pass"</formula>
    </cfRule>
  </conditionalFormatting>
  <conditionalFormatting sqref="A22:A31">
    <cfRule type="expression" dxfId="722" priority="74">
      <formula>B22="Fail"</formula>
    </cfRule>
    <cfRule type="expression" dxfId="721" priority="75">
      <formula>B22="Pending"</formula>
    </cfRule>
  </conditionalFormatting>
  <conditionalFormatting sqref="A22:A31">
    <cfRule type="expression" dxfId="720" priority="73">
      <formula>B22="Pass"</formula>
    </cfRule>
  </conditionalFormatting>
  <conditionalFormatting sqref="A48 A40">
    <cfRule type="expression" dxfId="719" priority="14">
      <formula>B40="Fail"</formula>
    </cfRule>
    <cfRule type="expression" dxfId="718" priority="15">
      <formula>B40="Pending"</formula>
    </cfRule>
  </conditionalFormatting>
  <conditionalFormatting sqref="A48 A40">
    <cfRule type="expression" dxfId="717" priority="13">
      <formula>B40="Pass"</formula>
    </cfRule>
  </conditionalFormatting>
  <conditionalFormatting sqref="A41">
    <cfRule type="expression" dxfId="716" priority="11">
      <formula>B41="Fail"</formula>
    </cfRule>
    <cfRule type="expression" dxfId="715" priority="12">
      <formula>B41="Pending"</formula>
    </cfRule>
  </conditionalFormatting>
  <conditionalFormatting sqref="A41">
    <cfRule type="expression" dxfId="714" priority="10">
      <formula>B41="Pass"</formula>
    </cfRule>
  </conditionalFormatting>
  <conditionalFormatting sqref="A42:A47">
    <cfRule type="expression" dxfId="713" priority="8">
      <formula>B42="Fail"</formula>
    </cfRule>
    <cfRule type="expression" dxfId="712" priority="9">
      <formula>B42="Pending"</formula>
    </cfRule>
  </conditionalFormatting>
  <conditionalFormatting sqref="A42:A47">
    <cfRule type="expression" dxfId="711" priority="7">
      <formula>B42="Pass"</formula>
    </cfRule>
  </conditionalFormatting>
  <dataValidations count="1">
    <dataValidation type="list" allowBlank="1" showInputMessage="1" showErrorMessage="1" sqref="B2:B36" xr:uid="{00000000-0002-0000-05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88" operator="containsText" id="{B4AF1C41-344E-4C17-ADD9-E3F3364E115C}">
            <xm:f>NOT(ISERROR(SEARCH(#REF!,B2)))</xm:f>
            <xm:f>#REF!</xm:f>
            <x14:dxf>
              <font>
                <b val="0"/>
                <i val="0"/>
                <color theme="9" tint="-0.499984740745262"/>
              </font>
              <fill>
                <patternFill>
                  <bgColor theme="9" tint="0.59996337778862885"/>
                </patternFill>
              </fill>
            </x14:dxf>
          </x14:cfRule>
          <x14:cfRule type="containsText" priority="89" operator="containsText" id="{5CD9B995-D4B1-4D43-9FE9-1EE8A15CB71C}">
            <xm:f>NOT(ISERROR(SEARCH(#REF!,B2)))</xm:f>
            <xm:f>#REF!</xm:f>
            <x14:dxf>
              <font>
                <b val="0"/>
                <i val="0"/>
                <color rgb="FFC00000"/>
              </font>
              <fill>
                <patternFill>
                  <bgColor rgb="FFFFCCCC"/>
                </patternFill>
              </fill>
            </x14:dxf>
          </x14:cfRule>
          <x14:cfRule type="containsText" priority="90" operator="containsText" id="{33656403-6DAF-400F-BF19-B68E52C0E2B7}">
            <xm:f>NOT(ISERROR(SEARCH(#REF!,B2)))</xm:f>
            <xm:f>#REF!</xm:f>
            <x14:dxf>
              <font>
                <b val="0"/>
                <i val="0"/>
                <color theme="7" tint="-0.499984740745262"/>
              </font>
              <fill>
                <patternFill>
                  <bgColor theme="7" tint="0.59996337778862885"/>
                </patternFill>
              </fill>
            </x14:dxf>
          </x14:cfRule>
          <xm:sqref>B2 B5 B8:B10 B27 B13 B15 B36</xm:sqref>
        </x14:conditionalFormatting>
        <x14:conditionalFormatting xmlns:xm="http://schemas.microsoft.com/office/excel/2006/main">
          <x14:cfRule type="containsText" priority="67" operator="containsText" id="{4CA88AC6-CD53-4138-B0C4-F855CF31804D}">
            <xm:f>NOT(ISERROR(SEARCH(#REF!,B3)))</xm:f>
            <xm:f>#REF!</xm:f>
            <x14:dxf>
              <font>
                <b val="0"/>
                <i val="0"/>
                <color theme="9" tint="-0.499984740745262"/>
              </font>
              <fill>
                <patternFill>
                  <bgColor theme="9" tint="0.59996337778862885"/>
                </patternFill>
              </fill>
            </x14:dxf>
          </x14:cfRule>
          <x14:cfRule type="containsText" priority="68" operator="containsText" id="{DBD0FB72-4535-4E54-8B24-566AD0E83F4B}">
            <xm:f>NOT(ISERROR(SEARCH(#REF!,B3)))</xm:f>
            <xm:f>#REF!</xm:f>
            <x14:dxf>
              <font>
                <b val="0"/>
                <i val="0"/>
                <color rgb="FFC00000"/>
              </font>
              <fill>
                <patternFill>
                  <bgColor rgb="FFFFCCCC"/>
                </patternFill>
              </fill>
            </x14:dxf>
          </x14:cfRule>
          <x14:cfRule type="containsText" priority="69" operator="containsText" id="{2474F1AF-DCBA-476C-87C2-AE4CE49D5150}">
            <xm:f>NOT(ISERROR(SEARCH(#REF!,B3)))</xm:f>
            <xm:f>#REF!</xm:f>
            <x14:dxf>
              <font>
                <b val="0"/>
                <i val="0"/>
                <color theme="7" tint="-0.499984740745262"/>
              </font>
              <fill>
                <patternFill>
                  <bgColor theme="7" tint="0.59996337778862885"/>
                </patternFill>
              </fill>
            </x14:dxf>
          </x14:cfRule>
          <xm:sqref>B3:B4</xm:sqref>
        </x14:conditionalFormatting>
        <x14:conditionalFormatting xmlns:xm="http://schemas.microsoft.com/office/excel/2006/main">
          <x14:cfRule type="containsText" priority="64" operator="containsText" id="{6B9FC158-DB2B-4613-BF83-697FAC7E7248}">
            <xm:f>NOT(ISERROR(SEARCH(#REF!,B6)))</xm:f>
            <xm:f>#REF!</xm:f>
            <x14:dxf>
              <font>
                <b val="0"/>
                <i val="0"/>
                <color theme="9" tint="-0.499984740745262"/>
              </font>
              <fill>
                <patternFill>
                  <bgColor theme="9" tint="0.59996337778862885"/>
                </patternFill>
              </fill>
            </x14:dxf>
          </x14:cfRule>
          <x14:cfRule type="containsText" priority="65" operator="containsText" id="{FE2325A9-EE19-4D97-ACD9-AE550F1011E7}">
            <xm:f>NOT(ISERROR(SEARCH(#REF!,B6)))</xm:f>
            <xm:f>#REF!</xm:f>
            <x14:dxf>
              <font>
                <b val="0"/>
                <i val="0"/>
                <color rgb="FFC00000"/>
              </font>
              <fill>
                <patternFill>
                  <bgColor rgb="FFFFCCCC"/>
                </patternFill>
              </fill>
            </x14:dxf>
          </x14:cfRule>
          <x14:cfRule type="containsText" priority="66" operator="containsText" id="{6240666F-8155-4C26-9C1B-B0E04A750C07}">
            <xm:f>NOT(ISERROR(SEARCH(#REF!,B6)))</xm:f>
            <xm:f>#REF!</xm:f>
            <x14:dxf>
              <font>
                <b val="0"/>
                <i val="0"/>
                <color theme="7" tint="-0.499984740745262"/>
              </font>
              <fill>
                <patternFill>
                  <bgColor theme="7" tint="0.59996337778862885"/>
                </patternFill>
              </fill>
            </x14:dxf>
          </x14:cfRule>
          <xm:sqref>B6:B7</xm:sqref>
        </x14:conditionalFormatting>
        <x14:conditionalFormatting xmlns:xm="http://schemas.microsoft.com/office/excel/2006/main">
          <x14:cfRule type="containsText" priority="61" operator="containsText" id="{089B8D45-5C6A-49A0-9505-01C6F1EBF9C3}">
            <xm:f>NOT(ISERROR(SEARCH(#REF!,B17)))</xm:f>
            <xm:f>#REF!</xm:f>
            <x14:dxf>
              <font>
                <b val="0"/>
                <i val="0"/>
                <color theme="9" tint="-0.499984740745262"/>
              </font>
              <fill>
                <patternFill>
                  <bgColor theme="9" tint="0.59996337778862885"/>
                </patternFill>
              </fill>
            </x14:dxf>
          </x14:cfRule>
          <x14:cfRule type="containsText" priority="62" operator="containsText" id="{C5FFA092-9157-4DC0-BA9D-15833B7EDF89}">
            <xm:f>NOT(ISERROR(SEARCH(#REF!,B17)))</xm:f>
            <xm:f>#REF!</xm:f>
            <x14:dxf>
              <font>
                <b val="0"/>
                <i val="0"/>
                <color rgb="FFC00000"/>
              </font>
              <fill>
                <patternFill>
                  <bgColor rgb="FFFFCCCC"/>
                </patternFill>
              </fill>
            </x14:dxf>
          </x14:cfRule>
          <x14:cfRule type="containsText" priority="63" operator="containsText" id="{CF4EB97D-F39E-4528-AFA6-58030A4ECD88}">
            <xm:f>NOT(ISERROR(SEARCH(#REF!,B17)))</xm:f>
            <xm:f>#REF!</xm:f>
            <x14:dxf>
              <font>
                <b val="0"/>
                <i val="0"/>
                <color theme="7" tint="-0.499984740745262"/>
              </font>
              <fill>
                <patternFill>
                  <bgColor theme="7" tint="0.59996337778862885"/>
                </patternFill>
              </fill>
            </x14:dxf>
          </x14:cfRule>
          <xm:sqref>B17</xm:sqref>
        </x14:conditionalFormatting>
        <x14:conditionalFormatting xmlns:xm="http://schemas.microsoft.com/office/excel/2006/main">
          <x14:cfRule type="containsText" priority="58" operator="containsText" id="{2E846CDB-2B3D-48A8-90CC-8ED0CDDA2644}">
            <xm:f>NOT(ISERROR(SEARCH(#REF!,B11)))</xm:f>
            <xm:f>#REF!</xm:f>
            <x14:dxf>
              <font>
                <b val="0"/>
                <i val="0"/>
                <color theme="9" tint="-0.499984740745262"/>
              </font>
              <fill>
                <patternFill>
                  <bgColor theme="9" tint="0.59996337778862885"/>
                </patternFill>
              </fill>
            </x14:dxf>
          </x14:cfRule>
          <x14:cfRule type="containsText" priority="59" operator="containsText" id="{44F577F4-0481-4FEB-9887-0B9416BB71EC}">
            <xm:f>NOT(ISERROR(SEARCH(#REF!,B11)))</xm:f>
            <xm:f>#REF!</xm:f>
            <x14:dxf>
              <font>
                <b val="0"/>
                <i val="0"/>
                <color rgb="FFC00000"/>
              </font>
              <fill>
                <patternFill>
                  <bgColor rgb="FFFFCCCC"/>
                </patternFill>
              </fill>
            </x14:dxf>
          </x14:cfRule>
          <x14:cfRule type="containsText" priority="60" operator="containsText" id="{1AA1DB35-3032-46F6-9AF5-4319FCBE6FC4}">
            <xm:f>NOT(ISERROR(SEARCH(#REF!,B11)))</xm:f>
            <xm:f>#REF!</xm:f>
            <x14:dxf>
              <font>
                <b val="0"/>
                <i val="0"/>
                <color theme="7" tint="-0.499984740745262"/>
              </font>
              <fill>
                <patternFill>
                  <bgColor theme="7" tint="0.59996337778862885"/>
                </patternFill>
              </fill>
            </x14:dxf>
          </x14:cfRule>
          <xm:sqref>B11:B12</xm:sqref>
        </x14:conditionalFormatting>
        <x14:conditionalFormatting xmlns:xm="http://schemas.microsoft.com/office/excel/2006/main">
          <x14:cfRule type="containsText" priority="55" operator="containsText" id="{B2B20105-8A72-4F9B-BDF7-2F47721C4931}">
            <xm:f>NOT(ISERROR(SEARCH(#REF!,B14)))</xm:f>
            <xm:f>#REF!</xm:f>
            <x14:dxf>
              <font>
                <b val="0"/>
                <i val="0"/>
                <color theme="9" tint="-0.499984740745262"/>
              </font>
              <fill>
                <patternFill>
                  <bgColor theme="9" tint="0.59996337778862885"/>
                </patternFill>
              </fill>
            </x14:dxf>
          </x14:cfRule>
          <x14:cfRule type="containsText" priority="56" operator="containsText" id="{1AFEFF1E-C670-4D9F-9F14-D60A08896DB2}">
            <xm:f>NOT(ISERROR(SEARCH(#REF!,B14)))</xm:f>
            <xm:f>#REF!</xm:f>
            <x14:dxf>
              <font>
                <b val="0"/>
                <i val="0"/>
                <color rgb="FFC00000"/>
              </font>
              <fill>
                <patternFill>
                  <bgColor rgb="FFFFCCCC"/>
                </patternFill>
              </fill>
            </x14:dxf>
          </x14:cfRule>
          <x14:cfRule type="containsText" priority="57" operator="containsText" id="{66FDAAA4-2C67-4885-8D46-8E3B646E99DB}">
            <xm:f>NOT(ISERROR(SEARCH(#REF!,B14)))</xm:f>
            <xm:f>#REF!</xm:f>
            <x14:dxf>
              <font>
                <b val="0"/>
                <i val="0"/>
                <color theme="7" tint="-0.499984740745262"/>
              </font>
              <fill>
                <patternFill>
                  <bgColor theme="7" tint="0.59996337778862885"/>
                </patternFill>
              </fill>
            </x14:dxf>
          </x14:cfRule>
          <xm:sqref>B14</xm:sqref>
        </x14:conditionalFormatting>
        <x14:conditionalFormatting xmlns:xm="http://schemas.microsoft.com/office/excel/2006/main">
          <x14:cfRule type="containsText" priority="52" operator="containsText" id="{EA6C4994-5790-4973-9E7E-9C080EF94583}">
            <xm:f>NOT(ISERROR(SEARCH(#REF!,B16)))</xm:f>
            <xm:f>#REF!</xm:f>
            <x14:dxf>
              <font>
                <b val="0"/>
                <i val="0"/>
                <color theme="9" tint="-0.499984740745262"/>
              </font>
              <fill>
                <patternFill>
                  <bgColor theme="9" tint="0.59996337778862885"/>
                </patternFill>
              </fill>
            </x14:dxf>
          </x14:cfRule>
          <x14:cfRule type="containsText" priority="53" operator="containsText" id="{83B7777E-8E8B-4516-AB53-802ACAD04FAE}">
            <xm:f>NOT(ISERROR(SEARCH(#REF!,B16)))</xm:f>
            <xm:f>#REF!</xm:f>
            <x14:dxf>
              <font>
                <b val="0"/>
                <i val="0"/>
                <color rgb="FFC00000"/>
              </font>
              <fill>
                <patternFill>
                  <bgColor rgb="FFFFCCCC"/>
                </patternFill>
              </fill>
            </x14:dxf>
          </x14:cfRule>
          <x14:cfRule type="containsText" priority="54" operator="containsText" id="{D9E502F6-23AC-41A5-ACEB-1BBE371DCDCF}">
            <xm:f>NOT(ISERROR(SEARCH(#REF!,B16)))</xm:f>
            <xm:f>#REF!</xm:f>
            <x14:dxf>
              <font>
                <b val="0"/>
                <i val="0"/>
                <color theme="7" tint="-0.499984740745262"/>
              </font>
              <fill>
                <patternFill>
                  <bgColor theme="7" tint="0.59996337778862885"/>
                </patternFill>
              </fill>
            </x14:dxf>
          </x14:cfRule>
          <xm:sqref>B16</xm:sqref>
        </x14:conditionalFormatting>
        <x14:conditionalFormatting xmlns:xm="http://schemas.microsoft.com/office/excel/2006/main">
          <x14:cfRule type="containsText" priority="49" operator="containsText" id="{25844E93-5C3A-4FA3-9AFC-3E8F79720422}">
            <xm:f>NOT(ISERROR(SEARCH(#REF!,B18)))</xm:f>
            <xm:f>#REF!</xm:f>
            <x14:dxf>
              <font>
                <b val="0"/>
                <i val="0"/>
                <color theme="9" tint="-0.499984740745262"/>
              </font>
              <fill>
                <patternFill>
                  <bgColor theme="9" tint="0.59996337778862885"/>
                </patternFill>
              </fill>
            </x14:dxf>
          </x14:cfRule>
          <x14:cfRule type="containsText" priority="50" operator="containsText" id="{3DE1E999-79D6-4F67-A25D-F25D8FE2E578}">
            <xm:f>NOT(ISERROR(SEARCH(#REF!,B18)))</xm:f>
            <xm:f>#REF!</xm:f>
            <x14:dxf>
              <font>
                <b val="0"/>
                <i val="0"/>
                <color rgb="FFC00000"/>
              </font>
              <fill>
                <patternFill>
                  <bgColor rgb="FFFFCCCC"/>
                </patternFill>
              </fill>
            </x14:dxf>
          </x14:cfRule>
          <x14:cfRule type="containsText" priority="51" operator="containsText" id="{14538630-B5DF-497B-8817-F00470BAC424}">
            <xm:f>NOT(ISERROR(SEARCH(#REF!,B18)))</xm:f>
            <xm:f>#REF!</xm:f>
            <x14:dxf>
              <font>
                <b val="0"/>
                <i val="0"/>
                <color theme="7" tint="-0.499984740745262"/>
              </font>
              <fill>
                <patternFill>
                  <bgColor theme="7" tint="0.59996337778862885"/>
                </patternFill>
              </fill>
            </x14:dxf>
          </x14:cfRule>
          <xm:sqref>B18:B19</xm:sqref>
        </x14:conditionalFormatting>
        <x14:conditionalFormatting xmlns:xm="http://schemas.microsoft.com/office/excel/2006/main">
          <x14:cfRule type="containsText" priority="46" operator="containsText" id="{059B613D-ECAC-417D-9DEB-F8A7C052A887}">
            <xm:f>NOT(ISERROR(SEARCH(#REF!,B20)))</xm:f>
            <xm:f>#REF!</xm:f>
            <x14:dxf>
              <font>
                <b val="0"/>
                <i val="0"/>
                <color theme="9" tint="-0.499984740745262"/>
              </font>
              <fill>
                <patternFill>
                  <bgColor theme="9" tint="0.59996337778862885"/>
                </patternFill>
              </fill>
            </x14:dxf>
          </x14:cfRule>
          <x14:cfRule type="containsText" priority="47" operator="containsText" id="{41D3EBCB-0147-48BA-BC62-91CBC37A09DF}">
            <xm:f>NOT(ISERROR(SEARCH(#REF!,B20)))</xm:f>
            <xm:f>#REF!</xm:f>
            <x14:dxf>
              <font>
                <b val="0"/>
                <i val="0"/>
                <color rgb="FFC00000"/>
              </font>
              <fill>
                <patternFill>
                  <bgColor rgb="FFFFCCCC"/>
                </patternFill>
              </fill>
            </x14:dxf>
          </x14:cfRule>
          <x14:cfRule type="containsText" priority="48" operator="containsText" id="{E600D72C-4DD5-494F-9872-63D0DEDCDA13}">
            <xm:f>NOT(ISERROR(SEARCH(#REF!,B20)))</xm:f>
            <xm:f>#REF!</xm:f>
            <x14:dxf>
              <font>
                <b val="0"/>
                <i val="0"/>
                <color theme="7" tint="-0.499984740745262"/>
              </font>
              <fill>
                <patternFill>
                  <bgColor theme="7" tint="0.59996337778862885"/>
                </patternFill>
              </fill>
            </x14:dxf>
          </x14:cfRule>
          <xm:sqref>B20</xm:sqref>
        </x14:conditionalFormatting>
        <x14:conditionalFormatting xmlns:xm="http://schemas.microsoft.com/office/excel/2006/main">
          <x14:cfRule type="containsText" priority="43" operator="containsText" id="{7DEFDEF2-01B3-4278-9442-9667FCF9AE96}">
            <xm:f>NOT(ISERROR(SEARCH(#REF!,B21)))</xm:f>
            <xm:f>#REF!</xm:f>
            <x14:dxf>
              <font>
                <b val="0"/>
                <i val="0"/>
                <color theme="9" tint="-0.499984740745262"/>
              </font>
              <fill>
                <patternFill>
                  <bgColor theme="9" tint="0.59996337778862885"/>
                </patternFill>
              </fill>
            </x14:dxf>
          </x14:cfRule>
          <x14:cfRule type="containsText" priority="44" operator="containsText" id="{18040207-3487-43F8-8D95-BC242AF6013D}">
            <xm:f>NOT(ISERROR(SEARCH(#REF!,B21)))</xm:f>
            <xm:f>#REF!</xm:f>
            <x14:dxf>
              <font>
                <b val="0"/>
                <i val="0"/>
                <color rgb="FFC00000"/>
              </font>
              <fill>
                <patternFill>
                  <bgColor rgb="FFFFCCCC"/>
                </patternFill>
              </fill>
            </x14:dxf>
          </x14:cfRule>
          <x14:cfRule type="containsText" priority="45" operator="containsText" id="{BDF66CC8-978A-407A-9CCE-2A95F62957E2}">
            <xm:f>NOT(ISERROR(SEARCH(#REF!,B21)))</xm:f>
            <xm:f>#REF!</xm:f>
            <x14:dxf>
              <font>
                <b val="0"/>
                <i val="0"/>
                <color theme="7" tint="-0.499984740745262"/>
              </font>
              <fill>
                <patternFill>
                  <bgColor theme="7" tint="0.59996337778862885"/>
                </patternFill>
              </fill>
            </x14:dxf>
          </x14:cfRule>
          <xm:sqref>B21</xm:sqref>
        </x14:conditionalFormatting>
        <x14:conditionalFormatting xmlns:xm="http://schemas.microsoft.com/office/excel/2006/main">
          <x14:cfRule type="containsText" priority="40" operator="containsText" id="{300C8968-2320-4625-9E26-BD0318653FA1}">
            <xm:f>NOT(ISERROR(SEARCH(#REF!,B22)))</xm:f>
            <xm:f>#REF!</xm:f>
            <x14:dxf>
              <font>
                <b val="0"/>
                <i val="0"/>
                <color theme="9" tint="-0.499984740745262"/>
              </font>
              <fill>
                <patternFill>
                  <bgColor theme="9" tint="0.59996337778862885"/>
                </patternFill>
              </fill>
            </x14:dxf>
          </x14:cfRule>
          <x14:cfRule type="containsText" priority="41" operator="containsText" id="{A817AA36-9548-4FAE-92FA-F54545CD50C8}">
            <xm:f>NOT(ISERROR(SEARCH(#REF!,B22)))</xm:f>
            <xm:f>#REF!</xm:f>
            <x14:dxf>
              <font>
                <b val="0"/>
                <i val="0"/>
                <color rgb="FFC00000"/>
              </font>
              <fill>
                <patternFill>
                  <bgColor rgb="FFFFCCCC"/>
                </patternFill>
              </fill>
            </x14:dxf>
          </x14:cfRule>
          <x14:cfRule type="containsText" priority="42" operator="containsText" id="{8B7DA43D-4926-4E97-92AC-50D950DD3917}">
            <xm:f>NOT(ISERROR(SEARCH(#REF!,B22)))</xm:f>
            <xm:f>#REF!</xm:f>
            <x14:dxf>
              <font>
                <b val="0"/>
                <i val="0"/>
                <color theme="7" tint="-0.499984740745262"/>
              </font>
              <fill>
                <patternFill>
                  <bgColor theme="7" tint="0.59996337778862885"/>
                </patternFill>
              </fill>
            </x14:dxf>
          </x14:cfRule>
          <xm:sqref>B22</xm:sqref>
        </x14:conditionalFormatting>
        <x14:conditionalFormatting xmlns:xm="http://schemas.microsoft.com/office/excel/2006/main">
          <x14:cfRule type="containsText" priority="37" operator="containsText" id="{B380EA6B-30C7-4578-B292-CAB7E1BD5332}">
            <xm:f>NOT(ISERROR(SEARCH(#REF!,B23)))</xm:f>
            <xm:f>#REF!</xm:f>
            <x14:dxf>
              <font>
                <b val="0"/>
                <i val="0"/>
                <color theme="9" tint="-0.499984740745262"/>
              </font>
              <fill>
                <patternFill>
                  <bgColor theme="9" tint="0.59996337778862885"/>
                </patternFill>
              </fill>
            </x14:dxf>
          </x14:cfRule>
          <x14:cfRule type="containsText" priority="38" operator="containsText" id="{1B9A2A60-A023-473B-B0E4-05B51EC2F149}">
            <xm:f>NOT(ISERROR(SEARCH(#REF!,B23)))</xm:f>
            <xm:f>#REF!</xm:f>
            <x14:dxf>
              <font>
                <b val="0"/>
                <i val="0"/>
                <color rgb="FFC00000"/>
              </font>
              <fill>
                <patternFill>
                  <bgColor rgb="FFFFCCCC"/>
                </patternFill>
              </fill>
            </x14:dxf>
          </x14:cfRule>
          <x14:cfRule type="containsText" priority="39" operator="containsText" id="{D3B51448-870C-4FDF-A8B0-985510610F42}">
            <xm:f>NOT(ISERROR(SEARCH(#REF!,B23)))</xm:f>
            <xm:f>#REF!</xm:f>
            <x14:dxf>
              <font>
                <b val="0"/>
                <i val="0"/>
                <color theme="7" tint="-0.499984740745262"/>
              </font>
              <fill>
                <patternFill>
                  <bgColor theme="7" tint="0.59996337778862885"/>
                </patternFill>
              </fill>
            </x14:dxf>
          </x14:cfRule>
          <xm:sqref>B23</xm:sqref>
        </x14:conditionalFormatting>
        <x14:conditionalFormatting xmlns:xm="http://schemas.microsoft.com/office/excel/2006/main">
          <x14:cfRule type="containsText" priority="34" operator="containsText" id="{CD4163F7-DF36-4338-890A-F7FA2A755EE2}">
            <xm:f>NOT(ISERROR(SEARCH(#REF!,B24)))</xm:f>
            <xm:f>#REF!</xm:f>
            <x14:dxf>
              <font>
                <b val="0"/>
                <i val="0"/>
                <color theme="9" tint="-0.499984740745262"/>
              </font>
              <fill>
                <patternFill>
                  <bgColor theme="9" tint="0.59996337778862885"/>
                </patternFill>
              </fill>
            </x14:dxf>
          </x14:cfRule>
          <x14:cfRule type="containsText" priority="35" operator="containsText" id="{22A9FF3A-68B6-44B1-AB8F-E00BE30F4CFC}">
            <xm:f>NOT(ISERROR(SEARCH(#REF!,B24)))</xm:f>
            <xm:f>#REF!</xm:f>
            <x14:dxf>
              <font>
                <b val="0"/>
                <i val="0"/>
                <color rgb="FFC00000"/>
              </font>
              <fill>
                <patternFill>
                  <bgColor rgb="FFFFCCCC"/>
                </patternFill>
              </fill>
            </x14:dxf>
          </x14:cfRule>
          <x14:cfRule type="containsText" priority="36" operator="containsText" id="{2F080938-7308-49E2-8062-E1C25103ABF2}">
            <xm:f>NOT(ISERROR(SEARCH(#REF!,B24)))</xm:f>
            <xm:f>#REF!</xm:f>
            <x14:dxf>
              <font>
                <b val="0"/>
                <i val="0"/>
                <color theme="7" tint="-0.499984740745262"/>
              </font>
              <fill>
                <patternFill>
                  <bgColor theme="7" tint="0.59996337778862885"/>
                </patternFill>
              </fill>
            </x14:dxf>
          </x14:cfRule>
          <xm:sqref>B24</xm:sqref>
        </x14:conditionalFormatting>
        <x14:conditionalFormatting xmlns:xm="http://schemas.microsoft.com/office/excel/2006/main">
          <x14:cfRule type="containsText" priority="31" operator="containsText" id="{3FFFCF02-95E3-42C3-A2A9-1372DFA86F8C}">
            <xm:f>NOT(ISERROR(SEARCH(#REF!,B25)))</xm:f>
            <xm:f>#REF!</xm:f>
            <x14:dxf>
              <font>
                <b val="0"/>
                <i val="0"/>
                <color theme="9" tint="-0.499984740745262"/>
              </font>
              <fill>
                <patternFill>
                  <bgColor theme="9" tint="0.59996337778862885"/>
                </patternFill>
              </fill>
            </x14:dxf>
          </x14:cfRule>
          <x14:cfRule type="containsText" priority="32" operator="containsText" id="{E6D645B9-EFE0-4382-A5D2-0369C49064BD}">
            <xm:f>NOT(ISERROR(SEARCH(#REF!,B25)))</xm:f>
            <xm:f>#REF!</xm:f>
            <x14:dxf>
              <font>
                <b val="0"/>
                <i val="0"/>
                <color rgb="FFC00000"/>
              </font>
              <fill>
                <patternFill>
                  <bgColor rgb="FFFFCCCC"/>
                </patternFill>
              </fill>
            </x14:dxf>
          </x14:cfRule>
          <x14:cfRule type="containsText" priority="33" operator="containsText" id="{0D5F055C-C6D2-4470-9F67-1C4787747AE4}">
            <xm:f>NOT(ISERROR(SEARCH(#REF!,B25)))</xm:f>
            <xm:f>#REF!</xm:f>
            <x14:dxf>
              <font>
                <b val="0"/>
                <i val="0"/>
                <color theme="7" tint="-0.499984740745262"/>
              </font>
              <fill>
                <patternFill>
                  <bgColor theme="7" tint="0.59996337778862885"/>
                </patternFill>
              </fill>
            </x14:dxf>
          </x14:cfRule>
          <xm:sqref>B25</xm:sqref>
        </x14:conditionalFormatting>
        <x14:conditionalFormatting xmlns:xm="http://schemas.microsoft.com/office/excel/2006/main">
          <x14:cfRule type="containsText" priority="28" operator="containsText" id="{82F7E728-7B08-4898-8C6F-F9E827EF12AC}">
            <xm:f>NOT(ISERROR(SEARCH(#REF!,B26)))</xm:f>
            <xm:f>#REF!</xm:f>
            <x14:dxf>
              <font>
                <b val="0"/>
                <i val="0"/>
                <color theme="9" tint="-0.499984740745262"/>
              </font>
              <fill>
                <patternFill>
                  <bgColor theme="9" tint="0.59996337778862885"/>
                </patternFill>
              </fill>
            </x14:dxf>
          </x14:cfRule>
          <x14:cfRule type="containsText" priority="29" operator="containsText" id="{4A77B80A-E902-49F1-B99A-23BAD0D97C50}">
            <xm:f>NOT(ISERROR(SEARCH(#REF!,B26)))</xm:f>
            <xm:f>#REF!</xm:f>
            <x14:dxf>
              <font>
                <b val="0"/>
                <i val="0"/>
                <color rgb="FFC00000"/>
              </font>
              <fill>
                <patternFill>
                  <bgColor rgb="FFFFCCCC"/>
                </patternFill>
              </fill>
            </x14:dxf>
          </x14:cfRule>
          <x14:cfRule type="containsText" priority="30" operator="containsText" id="{4CC82155-0DBA-46EE-9955-F94F0B808A7D}">
            <xm:f>NOT(ISERROR(SEARCH(#REF!,B26)))</xm:f>
            <xm:f>#REF!</xm:f>
            <x14:dxf>
              <font>
                <b val="0"/>
                <i val="0"/>
                <color theme="7" tint="-0.499984740745262"/>
              </font>
              <fill>
                <patternFill>
                  <bgColor theme="7" tint="0.59996337778862885"/>
                </patternFill>
              </fill>
            </x14:dxf>
          </x14:cfRule>
          <xm:sqref>B26</xm:sqref>
        </x14:conditionalFormatting>
        <x14:conditionalFormatting xmlns:xm="http://schemas.microsoft.com/office/excel/2006/main">
          <x14:cfRule type="containsText" priority="25" operator="containsText" id="{2F1E7FC4-4639-42F4-9D6F-B212FC6375F1}">
            <xm:f>NOT(ISERROR(SEARCH(#REF!,B28)))</xm:f>
            <xm:f>#REF!</xm:f>
            <x14:dxf>
              <font>
                <b val="0"/>
                <i val="0"/>
                <color theme="9" tint="-0.499984740745262"/>
              </font>
              <fill>
                <patternFill>
                  <bgColor theme="9" tint="0.59996337778862885"/>
                </patternFill>
              </fill>
            </x14:dxf>
          </x14:cfRule>
          <x14:cfRule type="containsText" priority="26" operator="containsText" id="{9F8D8303-E425-41C1-A624-0DDAB17CB429}">
            <xm:f>NOT(ISERROR(SEARCH(#REF!,B28)))</xm:f>
            <xm:f>#REF!</xm:f>
            <x14:dxf>
              <font>
                <b val="0"/>
                <i val="0"/>
                <color rgb="FFC00000"/>
              </font>
              <fill>
                <patternFill>
                  <bgColor rgb="FFFFCCCC"/>
                </patternFill>
              </fill>
            </x14:dxf>
          </x14:cfRule>
          <x14:cfRule type="containsText" priority="27" operator="containsText" id="{51450777-0305-4580-9188-53FB4851F178}">
            <xm:f>NOT(ISERROR(SEARCH(#REF!,B28)))</xm:f>
            <xm:f>#REF!</xm:f>
            <x14:dxf>
              <font>
                <b val="0"/>
                <i val="0"/>
                <color theme="7" tint="-0.499984740745262"/>
              </font>
              <fill>
                <patternFill>
                  <bgColor theme="7" tint="0.59996337778862885"/>
                </patternFill>
              </fill>
            </x14:dxf>
          </x14:cfRule>
          <xm:sqref>B28:B30</xm:sqref>
        </x14:conditionalFormatting>
        <x14:conditionalFormatting xmlns:xm="http://schemas.microsoft.com/office/excel/2006/main">
          <x14:cfRule type="containsText" priority="22" operator="containsText" id="{1546A1AB-580C-4EAF-9571-EA8617748BF6}">
            <xm:f>NOT(ISERROR(SEARCH(#REF!,B31)))</xm:f>
            <xm:f>#REF!</xm:f>
            <x14:dxf>
              <font>
                <b val="0"/>
                <i val="0"/>
                <color theme="9" tint="-0.499984740745262"/>
              </font>
              <fill>
                <patternFill>
                  <bgColor theme="9" tint="0.59996337778862885"/>
                </patternFill>
              </fill>
            </x14:dxf>
          </x14:cfRule>
          <x14:cfRule type="containsText" priority="23" operator="containsText" id="{3D072F7E-4235-4AB2-AB32-350A9670B677}">
            <xm:f>NOT(ISERROR(SEARCH(#REF!,B31)))</xm:f>
            <xm:f>#REF!</xm:f>
            <x14:dxf>
              <font>
                <b val="0"/>
                <i val="0"/>
                <color rgb="FFC00000"/>
              </font>
              <fill>
                <patternFill>
                  <bgColor rgb="FFFFCCCC"/>
                </patternFill>
              </fill>
            </x14:dxf>
          </x14:cfRule>
          <x14:cfRule type="containsText" priority="24" operator="containsText" id="{C5A5A5B4-3112-4F7D-9A2F-A3A00AE13ACF}">
            <xm:f>NOT(ISERROR(SEARCH(#REF!,B31)))</xm:f>
            <xm:f>#REF!</xm:f>
            <x14:dxf>
              <font>
                <b val="0"/>
                <i val="0"/>
                <color theme="7" tint="-0.499984740745262"/>
              </font>
              <fill>
                <patternFill>
                  <bgColor theme="7" tint="0.59996337778862885"/>
                </patternFill>
              </fill>
            </x14:dxf>
          </x14:cfRule>
          <xm:sqref>B31</xm:sqref>
        </x14:conditionalFormatting>
        <x14:conditionalFormatting xmlns:xm="http://schemas.microsoft.com/office/excel/2006/main">
          <x14:cfRule type="containsText" priority="19" operator="containsText" id="{E5E0C723-E72B-43E7-9F0F-89F175EC9317}">
            <xm:f>NOT(ISERROR(SEARCH(#REF!,B32)))</xm:f>
            <xm:f>#REF!</xm:f>
            <x14:dxf>
              <font>
                <b val="0"/>
                <i val="0"/>
                <color theme="9" tint="-0.499984740745262"/>
              </font>
              <fill>
                <patternFill>
                  <bgColor theme="9" tint="0.59996337778862885"/>
                </patternFill>
              </fill>
            </x14:dxf>
          </x14:cfRule>
          <x14:cfRule type="containsText" priority="20" operator="containsText" id="{BA10749B-AA4D-4D93-AB28-2E37CA6255C6}">
            <xm:f>NOT(ISERROR(SEARCH(#REF!,B32)))</xm:f>
            <xm:f>#REF!</xm:f>
            <x14:dxf>
              <font>
                <b val="0"/>
                <i val="0"/>
                <color rgb="FFC00000"/>
              </font>
              <fill>
                <patternFill>
                  <bgColor rgb="FFFFCCCC"/>
                </patternFill>
              </fill>
            </x14:dxf>
          </x14:cfRule>
          <x14:cfRule type="containsText" priority="21" operator="containsText" id="{6E4030C5-B70D-4BAB-B3A5-0B1421FDABD1}">
            <xm:f>NOT(ISERROR(SEARCH(#REF!,B32)))</xm:f>
            <xm:f>#REF!</xm:f>
            <x14:dxf>
              <font>
                <b val="0"/>
                <i val="0"/>
                <color theme="7" tint="-0.499984740745262"/>
              </font>
              <fill>
                <patternFill>
                  <bgColor theme="7" tint="0.59996337778862885"/>
                </patternFill>
              </fill>
            </x14:dxf>
          </x14:cfRule>
          <xm:sqref>B32</xm:sqref>
        </x14:conditionalFormatting>
        <x14:conditionalFormatting xmlns:xm="http://schemas.microsoft.com/office/excel/2006/main">
          <x14:cfRule type="containsText" priority="16" operator="containsText" id="{1CC75DC7-0D3B-42A2-99CE-AB153F9D5894}">
            <xm:f>NOT(ISERROR(SEARCH(#REF!,B33)))</xm:f>
            <xm:f>#REF!</xm:f>
            <x14:dxf>
              <font>
                <b val="0"/>
                <i val="0"/>
                <color theme="9" tint="-0.499984740745262"/>
              </font>
              <fill>
                <patternFill>
                  <bgColor theme="9" tint="0.59996337778862885"/>
                </patternFill>
              </fill>
            </x14:dxf>
          </x14:cfRule>
          <x14:cfRule type="containsText" priority="17" operator="containsText" id="{6E2D1EA6-BD64-443B-B788-FC9336A98FAB}">
            <xm:f>NOT(ISERROR(SEARCH(#REF!,B33)))</xm:f>
            <xm:f>#REF!</xm:f>
            <x14:dxf>
              <font>
                <b val="0"/>
                <i val="0"/>
                <color rgb="FFC00000"/>
              </font>
              <fill>
                <patternFill>
                  <bgColor rgb="FFFFCCCC"/>
                </patternFill>
              </fill>
            </x14:dxf>
          </x14:cfRule>
          <x14:cfRule type="containsText" priority="18" operator="containsText" id="{509B0F67-12AC-4E07-A47B-9FFB8F12B3C9}">
            <xm:f>NOT(ISERROR(SEARCH(#REF!,B33)))</xm:f>
            <xm:f>#REF!</xm:f>
            <x14:dxf>
              <font>
                <b val="0"/>
                <i val="0"/>
                <color theme="7" tint="-0.499984740745262"/>
              </font>
              <fill>
                <patternFill>
                  <bgColor theme="7" tint="0.59996337778862885"/>
                </patternFill>
              </fill>
            </x14:dxf>
          </x14:cfRule>
          <xm:sqref>B33</xm:sqref>
        </x14:conditionalFormatting>
        <x14:conditionalFormatting xmlns:xm="http://schemas.microsoft.com/office/excel/2006/main">
          <x14:cfRule type="containsText" priority="4" operator="containsText" id="{19D899BF-B4DA-478C-9256-F8248E606FBE}">
            <xm:f>NOT(ISERROR(SEARCH(#REF!,B34)))</xm:f>
            <xm:f>#REF!</xm:f>
            <x14:dxf>
              <font>
                <b val="0"/>
                <i val="0"/>
                <color theme="9" tint="-0.499984740745262"/>
              </font>
              <fill>
                <patternFill>
                  <bgColor theme="9" tint="0.59996337778862885"/>
                </patternFill>
              </fill>
            </x14:dxf>
          </x14:cfRule>
          <x14:cfRule type="containsText" priority="5" operator="containsText" id="{BD3ED55C-8D1C-40AA-9F27-1CFC4AC1FFC6}">
            <xm:f>NOT(ISERROR(SEARCH(#REF!,B34)))</xm:f>
            <xm:f>#REF!</xm:f>
            <x14:dxf>
              <font>
                <b val="0"/>
                <i val="0"/>
                <color rgb="FFC00000"/>
              </font>
              <fill>
                <patternFill>
                  <bgColor rgb="FFFFCCCC"/>
                </patternFill>
              </fill>
            </x14:dxf>
          </x14:cfRule>
          <x14:cfRule type="containsText" priority="6" operator="containsText" id="{7469811D-02B9-4C15-9D0B-F0B350E40234}">
            <xm:f>NOT(ISERROR(SEARCH(#REF!,B34)))</xm:f>
            <xm:f>#REF!</xm:f>
            <x14:dxf>
              <font>
                <b val="0"/>
                <i val="0"/>
                <color theme="7" tint="-0.499984740745262"/>
              </font>
              <fill>
                <patternFill>
                  <bgColor theme="7" tint="0.59996337778862885"/>
                </patternFill>
              </fill>
            </x14:dxf>
          </x14:cfRule>
          <xm:sqref>B34</xm:sqref>
        </x14:conditionalFormatting>
        <x14:conditionalFormatting xmlns:xm="http://schemas.microsoft.com/office/excel/2006/main">
          <x14:cfRule type="containsText" priority="1" operator="containsText" id="{DF3EF771-2CFF-4899-9712-7683C86445ED}">
            <xm:f>NOT(ISERROR(SEARCH(#REF!,B35)))</xm:f>
            <xm:f>#REF!</xm:f>
            <x14:dxf>
              <font>
                <b val="0"/>
                <i val="0"/>
                <color theme="9" tint="-0.499984740745262"/>
              </font>
              <fill>
                <patternFill>
                  <bgColor theme="9" tint="0.59996337778862885"/>
                </patternFill>
              </fill>
            </x14:dxf>
          </x14:cfRule>
          <x14:cfRule type="containsText" priority="2" operator="containsText" id="{80CF1812-88F0-43FD-9FF3-299202E772E3}">
            <xm:f>NOT(ISERROR(SEARCH(#REF!,B35)))</xm:f>
            <xm:f>#REF!</xm:f>
            <x14:dxf>
              <font>
                <b val="0"/>
                <i val="0"/>
                <color rgb="FFC00000"/>
              </font>
              <fill>
                <patternFill>
                  <bgColor rgb="FFFFCCCC"/>
                </patternFill>
              </fill>
            </x14:dxf>
          </x14:cfRule>
          <x14:cfRule type="containsText" priority="3" operator="containsText" id="{EC941025-BABE-4368-82E7-8FF2069378DB}">
            <xm:f>NOT(ISERROR(SEARCH(#REF!,B35)))</xm:f>
            <xm:f>#REF!</xm:f>
            <x14:dxf>
              <font>
                <b val="0"/>
                <i val="0"/>
                <color theme="7" tint="-0.499984740745262"/>
              </font>
              <fill>
                <patternFill>
                  <bgColor theme="7" tint="0.59996337778862885"/>
                </patternFill>
              </fill>
            </x14:dxf>
          </x14:cfRule>
          <xm:sqref>B35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Overview!$C$9:$C$12</xm:f>
          </x14:formula1>
          <xm:sqref>D2:D9 D28:D29 D25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G21"/>
  <sheetViews>
    <sheetView zoomScaleNormal="100" workbookViewId="0">
      <selection activeCell="C2" sqref="C2"/>
    </sheetView>
  </sheetViews>
  <sheetFormatPr defaultRowHeight="14.5" x14ac:dyDescent="0.35"/>
  <cols>
    <col min="1" max="1" width="14.54296875" customWidth="1"/>
    <col min="3" max="3" width="73.453125" style="5" customWidth="1"/>
    <col min="4" max="4" width="12.90625" bestFit="1" customWidth="1"/>
    <col min="5" max="5" width="44.1796875" customWidth="1"/>
  </cols>
  <sheetData>
    <row r="1" spans="1:7" x14ac:dyDescent="0.35">
      <c r="A1" s="4" t="s">
        <v>0</v>
      </c>
      <c r="B1" s="4" t="s">
        <v>5</v>
      </c>
      <c r="C1" s="6" t="s">
        <v>187</v>
      </c>
      <c r="D1" s="4" t="s">
        <v>285</v>
      </c>
      <c r="E1" s="137" t="s">
        <v>515</v>
      </c>
    </row>
    <row r="2" spans="1:7" ht="261" x14ac:dyDescent="0.35">
      <c r="A2" t="s">
        <v>160</v>
      </c>
      <c r="B2" t="s">
        <v>2</v>
      </c>
      <c r="C2" s="7" t="s">
        <v>1120</v>
      </c>
      <c r="G2" s="121"/>
    </row>
    <row r="3" spans="1:7" x14ac:dyDescent="0.35">
      <c r="A3" t="s">
        <v>161</v>
      </c>
      <c r="B3" t="s">
        <v>1</v>
      </c>
      <c r="C3" s="7" t="s">
        <v>666</v>
      </c>
    </row>
    <row r="4" spans="1:7" ht="261" x14ac:dyDescent="0.35">
      <c r="A4" t="s">
        <v>162</v>
      </c>
      <c r="B4" t="s">
        <v>2</v>
      </c>
      <c r="C4" s="7" t="s">
        <v>1120</v>
      </c>
      <c r="G4" s="121"/>
    </row>
    <row r="5" spans="1:7" ht="72.5" x14ac:dyDescent="0.35">
      <c r="A5" t="s">
        <v>163</v>
      </c>
      <c r="B5" t="s">
        <v>2</v>
      </c>
      <c r="C5" s="7" t="s">
        <v>1073</v>
      </c>
      <c r="E5" s="8"/>
    </row>
    <row r="6" spans="1:7" ht="58" x14ac:dyDescent="0.35">
      <c r="A6" t="s">
        <v>164</v>
      </c>
      <c r="B6" t="s">
        <v>2</v>
      </c>
      <c r="C6" s="7" t="s">
        <v>1121</v>
      </c>
    </row>
    <row r="7" spans="1:7" ht="43.5" x14ac:dyDescent="0.35">
      <c r="A7" t="s">
        <v>165</v>
      </c>
      <c r="B7" t="s">
        <v>2</v>
      </c>
      <c r="C7" s="5" t="s">
        <v>1086</v>
      </c>
    </row>
    <row r="8" spans="1:7" ht="87" x14ac:dyDescent="0.35">
      <c r="A8" t="s">
        <v>166</v>
      </c>
      <c r="B8" t="s">
        <v>2</v>
      </c>
      <c r="C8" s="5" t="s">
        <v>1088</v>
      </c>
    </row>
    <row r="9" spans="1:7" ht="43.5" x14ac:dyDescent="0.35">
      <c r="A9" t="s">
        <v>167</v>
      </c>
      <c r="B9" t="s">
        <v>2</v>
      </c>
      <c r="C9" s="5" t="s">
        <v>1116</v>
      </c>
    </row>
    <row r="10" spans="1:7" ht="43.5" x14ac:dyDescent="0.35">
      <c r="A10" t="s">
        <v>168</v>
      </c>
      <c r="B10" t="s">
        <v>2</v>
      </c>
      <c r="C10" s="5" t="s">
        <v>1116</v>
      </c>
    </row>
    <row r="11" spans="1:7" ht="43.5" x14ac:dyDescent="0.35">
      <c r="A11" t="s">
        <v>169</v>
      </c>
      <c r="B11" t="s">
        <v>2</v>
      </c>
      <c r="C11" s="5" t="s">
        <v>1122</v>
      </c>
    </row>
    <row r="12" spans="1:7" ht="43.5" x14ac:dyDescent="0.35">
      <c r="A12" t="s">
        <v>170</v>
      </c>
      <c r="B12" t="s">
        <v>2</v>
      </c>
      <c r="C12" s="5" t="s">
        <v>1122</v>
      </c>
    </row>
    <row r="13" spans="1:7" ht="43.5" x14ac:dyDescent="0.35">
      <c r="A13" t="s">
        <v>171</v>
      </c>
      <c r="B13" t="s">
        <v>2</v>
      </c>
      <c r="C13" s="5" t="s">
        <v>1117</v>
      </c>
    </row>
    <row r="14" spans="1:7" ht="43.5" x14ac:dyDescent="0.35">
      <c r="A14" t="s">
        <v>172</v>
      </c>
      <c r="B14" t="s">
        <v>2</v>
      </c>
      <c r="C14" s="5" t="s">
        <v>1122</v>
      </c>
    </row>
    <row r="15" spans="1:7" ht="43.5" x14ac:dyDescent="0.35">
      <c r="A15" t="s">
        <v>173</v>
      </c>
      <c r="B15" t="s">
        <v>2</v>
      </c>
      <c r="C15" s="5" t="s">
        <v>1122</v>
      </c>
    </row>
    <row r="16" spans="1:7" ht="29" x14ac:dyDescent="0.35">
      <c r="A16" t="s">
        <v>174</v>
      </c>
      <c r="B16" t="s">
        <v>2</v>
      </c>
      <c r="C16" s="5" t="s">
        <v>1118</v>
      </c>
    </row>
    <row r="17" spans="1:3" ht="87" x14ac:dyDescent="0.35">
      <c r="A17" t="s">
        <v>175</v>
      </c>
      <c r="B17" t="s">
        <v>2</v>
      </c>
      <c r="C17" s="5" t="s">
        <v>1119</v>
      </c>
    </row>
    <row r="18" spans="1:3" x14ac:dyDescent="0.35">
      <c r="A18" t="s">
        <v>176</v>
      </c>
      <c r="B18" t="s">
        <v>1</v>
      </c>
      <c r="C18" s="5" t="s">
        <v>1074</v>
      </c>
    </row>
    <row r="19" spans="1:3" ht="43.5" x14ac:dyDescent="0.35">
      <c r="A19" t="s">
        <v>177</v>
      </c>
      <c r="B19" t="s">
        <v>2</v>
      </c>
      <c r="C19" s="5" t="s">
        <v>1127</v>
      </c>
    </row>
    <row r="20" spans="1:3" ht="43.5" x14ac:dyDescent="0.35">
      <c r="A20" t="s">
        <v>178</v>
      </c>
      <c r="B20" t="s">
        <v>2</v>
      </c>
      <c r="C20" s="5" t="s">
        <v>1127</v>
      </c>
    </row>
    <row r="21" spans="1:3" ht="43.5" x14ac:dyDescent="0.35">
      <c r="A21" t="s">
        <v>179</v>
      </c>
      <c r="B21" t="s">
        <v>2</v>
      </c>
      <c r="C21" s="5" t="s">
        <v>1168</v>
      </c>
    </row>
  </sheetData>
  <conditionalFormatting sqref="A3:A19">
    <cfRule type="expression" dxfId="645" priority="35">
      <formula>B3="Fail"</formula>
    </cfRule>
    <cfRule type="expression" dxfId="644" priority="36">
      <formula>B3="Pending"</formula>
    </cfRule>
  </conditionalFormatting>
  <conditionalFormatting sqref="A3:A19">
    <cfRule type="expression" dxfId="643" priority="34">
      <formula>B3="Pass"</formula>
    </cfRule>
  </conditionalFormatting>
  <conditionalFormatting sqref="A2">
    <cfRule type="expression" dxfId="642" priority="32">
      <formula>B2="Fail"</formula>
    </cfRule>
    <cfRule type="expression" dxfId="641" priority="33">
      <formula>B2="Pending"</formula>
    </cfRule>
  </conditionalFormatting>
  <conditionalFormatting sqref="A2">
    <cfRule type="expression" dxfId="640" priority="31">
      <formula>B2="Pass"</formula>
    </cfRule>
  </conditionalFormatting>
  <conditionalFormatting sqref="A20">
    <cfRule type="expression" dxfId="639" priority="29">
      <formula>B20="Fail"</formula>
    </cfRule>
    <cfRule type="expression" dxfId="638" priority="30">
      <formula>B20="Pending"</formula>
    </cfRule>
  </conditionalFormatting>
  <conditionalFormatting sqref="A20">
    <cfRule type="expression" dxfId="637" priority="28">
      <formula>B20="Pass"</formula>
    </cfRule>
  </conditionalFormatting>
  <conditionalFormatting sqref="A21">
    <cfRule type="expression" dxfId="636" priority="26">
      <formula>B21="Fail"</formula>
    </cfRule>
    <cfRule type="expression" dxfId="635" priority="27">
      <formula>B21="Pending"</formula>
    </cfRule>
  </conditionalFormatting>
  <conditionalFormatting sqref="A21">
    <cfRule type="expression" dxfId="634" priority="25">
      <formula>B21="Pass"</formula>
    </cfRule>
  </conditionalFormatting>
  <conditionalFormatting sqref="A22:A31">
    <cfRule type="expression" dxfId="633" priority="23">
      <formula>B22="Fail"</formula>
    </cfRule>
    <cfRule type="expression" dxfId="632" priority="24">
      <formula>B22="Pending"</formula>
    </cfRule>
  </conditionalFormatting>
  <conditionalFormatting sqref="A22:A31">
    <cfRule type="expression" dxfId="631" priority="22">
      <formula>B22="Pass"</formula>
    </cfRule>
  </conditionalFormatting>
  <dataValidations count="1">
    <dataValidation type="list" allowBlank="1" showInputMessage="1" showErrorMessage="1" sqref="B2:B21" xr:uid="{00000000-0002-0000-06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37" operator="containsText" id="{ABAED45C-B614-4784-A279-586596C5FF96}">
            <xm:f>NOT(ISERROR(SEARCH(#REF!,B2)))</xm:f>
            <xm:f>#REF!</xm:f>
            <x14:dxf>
              <font>
                <b val="0"/>
                <i val="0"/>
                <color theme="9" tint="-0.499984740745262"/>
              </font>
              <fill>
                <patternFill>
                  <bgColor theme="9" tint="0.59996337778862885"/>
                </patternFill>
              </fill>
            </x14:dxf>
          </x14:cfRule>
          <x14:cfRule type="containsText" priority="38" operator="containsText" id="{802809A5-ADED-4DD0-9AE2-D913A8B493DA}">
            <xm:f>NOT(ISERROR(SEARCH(#REF!,B2)))</xm:f>
            <xm:f>#REF!</xm:f>
            <x14:dxf>
              <font>
                <b val="0"/>
                <i val="0"/>
                <color rgb="FFC00000"/>
              </font>
              <fill>
                <patternFill>
                  <bgColor rgb="FFFFCCCC"/>
                </patternFill>
              </fill>
            </x14:dxf>
          </x14:cfRule>
          <x14:cfRule type="containsText" priority="39" operator="containsText" id="{28E07B7C-4E7B-4E45-B9FE-227595513EAD}">
            <xm:f>NOT(ISERROR(SEARCH(#REF!,B2)))</xm:f>
            <xm:f>#REF!</xm:f>
            <x14:dxf>
              <font>
                <b val="0"/>
                <i val="0"/>
                <color theme="7" tint="-0.499984740745262"/>
              </font>
              <fill>
                <patternFill>
                  <bgColor theme="7" tint="0.59996337778862885"/>
                </patternFill>
              </fill>
            </x14:dxf>
          </x14:cfRule>
          <xm:sqref>B2:B8 B11 B16:B18 B21</xm:sqref>
        </x14:conditionalFormatting>
        <x14:conditionalFormatting xmlns:xm="http://schemas.microsoft.com/office/excel/2006/main">
          <x14:cfRule type="containsText" priority="19" operator="containsText" id="{8AB9E52E-53B9-45E2-BBC8-AC85027BA7D0}">
            <xm:f>NOT(ISERROR(SEARCH(#REF!,B9)))</xm:f>
            <xm:f>#REF!</xm:f>
            <x14:dxf>
              <font>
                <b val="0"/>
                <i val="0"/>
                <color theme="9" tint="-0.499984740745262"/>
              </font>
              <fill>
                <patternFill>
                  <bgColor theme="9" tint="0.59996337778862885"/>
                </patternFill>
              </fill>
            </x14:dxf>
          </x14:cfRule>
          <x14:cfRule type="containsText" priority="20" operator="containsText" id="{22E3F062-4D6E-4943-9DB2-79AD58076870}">
            <xm:f>NOT(ISERROR(SEARCH(#REF!,B9)))</xm:f>
            <xm:f>#REF!</xm:f>
            <x14:dxf>
              <font>
                <b val="0"/>
                <i val="0"/>
                <color rgb="FFC00000"/>
              </font>
              <fill>
                <patternFill>
                  <bgColor rgb="FFFFCCCC"/>
                </patternFill>
              </fill>
            </x14:dxf>
          </x14:cfRule>
          <x14:cfRule type="containsText" priority="21" operator="containsText" id="{4486BDC0-C729-41C2-ADF0-862C5E7E7405}">
            <xm:f>NOT(ISERROR(SEARCH(#REF!,B9)))</xm:f>
            <xm:f>#REF!</xm:f>
            <x14:dxf>
              <font>
                <b val="0"/>
                <i val="0"/>
                <color theme="7" tint="-0.499984740745262"/>
              </font>
              <fill>
                <patternFill>
                  <bgColor theme="7" tint="0.59996337778862885"/>
                </patternFill>
              </fill>
            </x14:dxf>
          </x14:cfRule>
          <xm:sqref>B9</xm:sqref>
        </x14:conditionalFormatting>
        <x14:conditionalFormatting xmlns:xm="http://schemas.microsoft.com/office/excel/2006/main">
          <x14:cfRule type="containsText" priority="16" operator="containsText" id="{9AAD8461-525D-4E09-AA07-075C2AB1884E}">
            <xm:f>NOT(ISERROR(SEARCH(#REF!,B13)))</xm:f>
            <xm:f>#REF!</xm:f>
            <x14:dxf>
              <font>
                <b val="0"/>
                <i val="0"/>
                <color theme="9" tint="-0.499984740745262"/>
              </font>
              <fill>
                <patternFill>
                  <bgColor theme="9" tint="0.59996337778862885"/>
                </patternFill>
              </fill>
            </x14:dxf>
          </x14:cfRule>
          <x14:cfRule type="containsText" priority="17" operator="containsText" id="{5BE36247-F843-4E3D-B9E8-301844E42CB8}">
            <xm:f>NOT(ISERROR(SEARCH(#REF!,B13)))</xm:f>
            <xm:f>#REF!</xm:f>
            <x14:dxf>
              <font>
                <b val="0"/>
                <i val="0"/>
                <color rgb="FFC00000"/>
              </font>
              <fill>
                <patternFill>
                  <bgColor rgb="FFFFCCCC"/>
                </patternFill>
              </fill>
            </x14:dxf>
          </x14:cfRule>
          <x14:cfRule type="containsText" priority="18" operator="containsText" id="{E4D6A484-AEAC-4DB3-9F0D-FAADE84F7B44}">
            <xm:f>NOT(ISERROR(SEARCH(#REF!,B13)))</xm:f>
            <xm:f>#REF!</xm:f>
            <x14:dxf>
              <font>
                <b val="0"/>
                <i val="0"/>
                <color theme="7" tint="-0.499984740745262"/>
              </font>
              <fill>
                <patternFill>
                  <bgColor theme="7" tint="0.59996337778862885"/>
                </patternFill>
              </fill>
            </x14:dxf>
          </x14:cfRule>
          <xm:sqref>B13</xm:sqref>
        </x14:conditionalFormatting>
        <x14:conditionalFormatting xmlns:xm="http://schemas.microsoft.com/office/excel/2006/main">
          <x14:cfRule type="containsText" priority="13" operator="containsText" id="{0B30D5A0-DFF8-453D-B537-6A968E1F4718}">
            <xm:f>NOT(ISERROR(SEARCH(#REF!,B19)))</xm:f>
            <xm:f>#REF!</xm:f>
            <x14:dxf>
              <font>
                <b val="0"/>
                <i val="0"/>
                <color theme="9" tint="-0.499984740745262"/>
              </font>
              <fill>
                <patternFill>
                  <bgColor theme="9" tint="0.59996337778862885"/>
                </patternFill>
              </fill>
            </x14:dxf>
          </x14:cfRule>
          <x14:cfRule type="containsText" priority="14" operator="containsText" id="{01C81CD9-27E0-492C-9D71-5338643EF262}">
            <xm:f>NOT(ISERROR(SEARCH(#REF!,B19)))</xm:f>
            <xm:f>#REF!</xm:f>
            <x14:dxf>
              <font>
                <b val="0"/>
                <i val="0"/>
                <color rgb="FFC00000"/>
              </font>
              <fill>
                <patternFill>
                  <bgColor rgb="FFFFCCCC"/>
                </patternFill>
              </fill>
            </x14:dxf>
          </x14:cfRule>
          <x14:cfRule type="containsText" priority="15" operator="containsText" id="{FC206DDB-5726-4EEB-B13E-C1C989B1B697}">
            <xm:f>NOT(ISERROR(SEARCH(#REF!,B19)))</xm:f>
            <xm:f>#REF!</xm:f>
            <x14:dxf>
              <font>
                <b val="0"/>
                <i val="0"/>
                <color theme="7" tint="-0.499984740745262"/>
              </font>
              <fill>
                <patternFill>
                  <bgColor theme="7" tint="0.59996337778862885"/>
                </patternFill>
              </fill>
            </x14:dxf>
          </x14:cfRule>
          <xm:sqref>B19</xm:sqref>
        </x14:conditionalFormatting>
        <x14:conditionalFormatting xmlns:xm="http://schemas.microsoft.com/office/excel/2006/main">
          <x14:cfRule type="containsText" priority="10" operator="containsText" id="{D25DD353-C5FD-4697-8C8D-B029B1A23649}">
            <xm:f>NOT(ISERROR(SEARCH(#REF!,B20)))</xm:f>
            <xm:f>#REF!</xm:f>
            <x14:dxf>
              <font>
                <b val="0"/>
                <i val="0"/>
                <color theme="9" tint="-0.499984740745262"/>
              </font>
              <fill>
                <patternFill>
                  <bgColor theme="9" tint="0.59996337778862885"/>
                </patternFill>
              </fill>
            </x14:dxf>
          </x14:cfRule>
          <x14:cfRule type="containsText" priority="11" operator="containsText" id="{B5DD519F-A26F-482F-A2EF-C477F3F17924}">
            <xm:f>NOT(ISERROR(SEARCH(#REF!,B20)))</xm:f>
            <xm:f>#REF!</xm:f>
            <x14:dxf>
              <font>
                <b val="0"/>
                <i val="0"/>
                <color rgb="FFC00000"/>
              </font>
              <fill>
                <patternFill>
                  <bgColor rgb="FFFFCCCC"/>
                </patternFill>
              </fill>
            </x14:dxf>
          </x14:cfRule>
          <x14:cfRule type="containsText" priority="12" operator="containsText" id="{78517520-E03A-425B-9184-F2EECCF8DFC2}">
            <xm:f>NOT(ISERROR(SEARCH(#REF!,B20)))</xm:f>
            <xm:f>#REF!</xm:f>
            <x14:dxf>
              <font>
                <b val="0"/>
                <i val="0"/>
                <color theme="7" tint="-0.499984740745262"/>
              </font>
              <fill>
                <patternFill>
                  <bgColor theme="7" tint="0.59996337778862885"/>
                </patternFill>
              </fill>
            </x14:dxf>
          </x14:cfRule>
          <xm:sqref>B20</xm:sqref>
        </x14:conditionalFormatting>
        <x14:conditionalFormatting xmlns:xm="http://schemas.microsoft.com/office/excel/2006/main">
          <x14:cfRule type="containsText" priority="7" operator="containsText" id="{57C9005F-BFD5-4B8F-9BDF-51F9376B60AB}">
            <xm:f>NOT(ISERROR(SEARCH(#REF!,B10)))</xm:f>
            <xm:f>#REF!</xm:f>
            <x14:dxf>
              <font>
                <b val="0"/>
                <i val="0"/>
                <color theme="9" tint="-0.499984740745262"/>
              </font>
              <fill>
                <patternFill>
                  <bgColor theme="9" tint="0.59996337778862885"/>
                </patternFill>
              </fill>
            </x14:dxf>
          </x14:cfRule>
          <x14:cfRule type="containsText" priority="8" operator="containsText" id="{F3312966-E11A-449B-9394-8C19AD930703}">
            <xm:f>NOT(ISERROR(SEARCH(#REF!,B10)))</xm:f>
            <xm:f>#REF!</xm:f>
            <x14:dxf>
              <font>
                <b val="0"/>
                <i val="0"/>
                <color rgb="FFC00000"/>
              </font>
              <fill>
                <patternFill>
                  <bgColor rgb="FFFFCCCC"/>
                </patternFill>
              </fill>
            </x14:dxf>
          </x14:cfRule>
          <x14:cfRule type="containsText" priority="9" operator="containsText" id="{93C8F959-25E3-47AC-AF42-ED0A2A447F38}">
            <xm:f>NOT(ISERROR(SEARCH(#REF!,B10)))</xm:f>
            <xm:f>#REF!</xm:f>
            <x14:dxf>
              <font>
                <b val="0"/>
                <i val="0"/>
                <color theme="7" tint="-0.499984740745262"/>
              </font>
              <fill>
                <patternFill>
                  <bgColor theme="7" tint="0.59996337778862885"/>
                </patternFill>
              </fill>
            </x14:dxf>
          </x14:cfRule>
          <xm:sqref>B10</xm:sqref>
        </x14:conditionalFormatting>
        <x14:conditionalFormatting xmlns:xm="http://schemas.microsoft.com/office/excel/2006/main">
          <x14:cfRule type="containsText" priority="4" operator="containsText" id="{41452A06-911D-4A26-BE5D-94076E9E15CB}">
            <xm:f>NOT(ISERROR(SEARCH(#REF!,B12)))</xm:f>
            <xm:f>#REF!</xm:f>
            <x14:dxf>
              <font>
                <b val="0"/>
                <i val="0"/>
                <color theme="9" tint="-0.499984740745262"/>
              </font>
              <fill>
                <patternFill>
                  <bgColor theme="9" tint="0.59996337778862885"/>
                </patternFill>
              </fill>
            </x14:dxf>
          </x14:cfRule>
          <x14:cfRule type="containsText" priority="5" operator="containsText" id="{395E5131-18DB-49F2-858A-D4E96D086443}">
            <xm:f>NOT(ISERROR(SEARCH(#REF!,B12)))</xm:f>
            <xm:f>#REF!</xm:f>
            <x14:dxf>
              <font>
                <b val="0"/>
                <i val="0"/>
                <color rgb="FFC00000"/>
              </font>
              <fill>
                <patternFill>
                  <bgColor rgb="FFFFCCCC"/>
                </patternFill>
              </fill>
            </x14:dxf>
          </x14:cfRule>
          <x14:cfRule type="containsText" priority="6" operator="containsText" id="{B525C91C-A434-4FC4-A4C6-49BD49170A49}">
            <xm:f>NOT(ISERROR(SEARCH(#REF!,B12)))</xm:f>
            <xm:f>#REF!</xm:f>
            <x14:dxf>
              <font>
                <b val="0"/>
                <i val="0"/>
                <color theme="7" tint="-0.499984740745262"/>
              </font>
              <fill>
                <patternFill>
                  <bgColor theme="7" tint="0.59996337778862885"/>
                </patternFill>
              </fill>
            </x14:dxf>
          </x14:cfRule>
          <xm:sqref>B12</xm:sqref>
        </x14:conditionalFormatting>
        <x14:conditionalFormatting xmlns:xm="http://schemas.microsoft.com/office/excel/2006/main">
          <x14:cfRule type="containsText" priority="1" operator="containsText" id="{69D36AAD-A0A8-42B0-9FC3-28D94B3DFB63}">
            <xm:f>NOT(ISERROR(SEARCH(#REF!,B14)))</xm:f>
            <xm:f>#REF!</xm:f>
            <x14:dxf>
              <font>
                <b val="0"/>
                <i val="0"/>
                <color theme="9" tint="-0.499984740745262"/>
              </font>
              <fill>
                <patternFill>
                  <bgColor theme="9" tint="0.59996337778862885"/>
                </patternFill>
              </fill>
            </x14:dxf>
          </x14:cfRule>
          <x14:cfRule type="containsText" priority="2" operator="containsText" id="{AD32C1C8-4413-4BC8-A0E7-8C8791E3DF0F}">
            <xm:f>NOT(ISERROR(SEARCH(#REF!,B14)))</xm:f>
            <xm:f>#REF!</xm:f>
            <x14:dxf>
              <font>
                <b val="0"/>
                <i val="0"/>
                <color rgb="FFC00000"/>
              </font>
              <fill>
                <patternFill>
                  <bgColor rgb="FFFFCCCC"/>
                </patternFill>
              </fill>
            </x14:dxf>
          </x14:cfRule>
          <x14:cfRule type="containsText" priority="3" operator="containsText" id="{9165626D-39DC-48E7-A4BA-0C97A53515DB}">
            <xm:f>NOT(ISERROR(SEARCH(#REF!,B14)))</xm:f>
            <xm:f>#REF!</xm:f>
            <x14:dxf>
              <font>
                <b val="0"/>
                <i val="0"/>
                <color theme="7" tint="-0.499984740745262"/>
              </font>
              <fill>
                <patternFill>
                  <bgColor theme="7" tint="0.59996337778862885"/>
                </patternFill>
              </fill>
            </x14:dxf>
          </x14:cfRule>
          <xm:sqref>B14:B15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Overview!$C$9:$C$12</xm:f>
          </x14:formula1>
          <xm:sqref>D2:D10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D35"/>
  <sheetViews>
    <sheetView workbookViewId="0">
      <selection activeCell="D7" sqref="D7"/>
    </sheetView>
  </sheetViews>
  <sheetFormatPr defaultRowHeight="14.5" x14ac:dyDescent="0.35"/>
  <cols>
    <col min="1" max="1" width="14.54296875" customWidth="1"/>
    <col min="3" max="3" width="62.08984375" customWidth="1"/>
    <col min="4" max="4" width="12.90625" customWidth="1"/>
  </cols>
  <sheetData>
    <row r="1" spans="1:4" x14ac:dyDescent="0.35">
      <c r="A1" s="1" t="s">
        <v>1</v>
      </c>
      <c r="B1">
        <f>COUNTIF(Table2101118[Result],"Pass")</f>
        <v>0</v>
      </c>
    </row>
    <row r="2" spans="1:4" x14ac:dyDescent="0.35">
      <c r="A2" s="2" t="s">
        <v>2</v>
      </c>
      <c r="B2">
        <f>COUNTIF(Table2101118[Result],"Fail")</f>
        <v>0</v>
      </c>
    </row>
    <row r="3" spans="1:4" x14ac:dyDescent="0.35">
      <c r="A3" s="3" t="s">
        <v>3</v>
      </c>
      <c r="B3">
        <f>COUNTIF(Table2101118[Result],"Pending")</f>
        <v>20</v>
      </c>
    </row>
    <row r="4" spans="1:4" x14ac:dyDescent="0.35">
      <c r="A4" t="s">
        <v>4</v>
      </c>
      <c r="B4">
        <f>COUNTA(Table2101118[Result])</f>
        <v>20</v>
      </c>
    </row>
    <row r="5" spans="1:4" x14ac:dyDescent="0.35">
      <c r="A5" s="4" t="s">
        <v>0</v>
      </c>
      <c r="B5" s="4" t="s">
        <v>5</v>
      </c>
      <c r="C5" s="4" t="s">
        <v>187</v>
      </c>
      <c r="D5" s="4" t="s">
        <v>285</v>
      </c>
    </row>
    <row r="6" spans="1:4" x14ac:dyDescent="0.35">
      <c r="A6" t="s">
        <v>289</v>
      </c>
      <c r="B6" t="s">
        <v>3</v>
      </c>
      <c r="C6" s="5"/>
    </row>
    <row r="7" spans="1:4" x14ac:dyDescent="0.35">
      <c r="A7" t="s">
        <v>290</v>
      </c>
      <c r="B7" t="s">
        <v>3</v>
      </c>
      <c r="C7" s="5"/>
    </row>
    <row r="8" spans="1:4" x14ac:dyDescent="0.35">
      <c r="A8" t="s">
        <v>291</v>
      </c>
      <c r="B8" t="s">
        <v>3</v>
      </c>
      <c r="C8" s="5"/>
    </row>
    <row r="9" spans="1:4" x14ac:dyDescent="0.35">
      <c r="A9" t="s">
        <v>292</v>
      </c>
      <c r="B9" t="s">
        <v>3</v>
      </c>
      <c r="C9" s="5"/>
    </row>
    <row r="10" spans="1:4" x14ac:dyDescent="0.35">
      <c r="A10" t="s">
        <v>293</v>
      </c>
      <c r="B10" t="s">
        <v>3</v>
      </c>
      <c r="C10" s="5"/>
    </row>
    <row r="11" spans="1:4" x14ac:dyDescent="0.35">
      <c r="A11" t="s">
        <v>294</v>
      </c>
      <c r="B11" t="s">
        <v>3</v>
      </c>
      <c r="C11" s="5"/>
    </row>
    <row r="12" spans="1:4" x14ac:dyDescent="0.35">
      <c r="A12" t="s">
        <v>295</v>
      </c>
      <c r="B12" t="s">
        <v>3</v>
      </c>
      <c r="C12" s="5"/>
    </row>
    <row r="13" spans="1:4" x14ac:dyDescent="0.35">
      <c r="A13" t="s">
        <v>296</v>
      </c>
      <c r="B13" t="s">
        <v>3</v>
      </c>
      <c r="C13" s="5"/>
    </row>
    <row r="14" spans="1:4" x14ac:dyDescent="0.35">
      <c r="A14" t="s">
        <v>297</v>
      </c>
      <c r="B14" t="s">
        <v>3</v>
      </c>
      <c r="C14" s="5"/>
    </row>
    <row r="15" spans="1:4" x14ac:dyDescent="0.35">
      <c r="A15" t="s">
        <v>298</v>
      </c>
      <c r="B15" t="s">
        <v>3</v>
      </c>
      <c r="C15" s="5"/>
    </row>
    <row r="16" spans="1:4" x14ac:dyDescent="0.35">
      <c r="A16" t="s">
        <v>299</v>
      </c>
      <c r="B16" t="s">
        <v>3</v>
      </c>
      <c r="C16" s="5"/>
    </row>
    <row r="17" spans="1:3" x14ac:dyDescent="0.35">
      <c r="A17" t="s">
        <v>300</v>
      </c>
      <c r="B17" t="s">
        <v>3</v>
      </c>
      <c r="C17" s="5"/>
    </row>
    <row r="18" spans="1:3" x14ac:dyDescent="0.35">
      <c r="A18" t="s">
        <v>301</v>
      </c>
      <c r="B18" t="s">
        <v>3</v>
      </c>
      <c r="C18" s="5"/>
    </row>
    <row r="19" spans="1:3" x14ac:dyDescent="0.35">
      <c r="A19" t="s">
        <v>302</v>
      </c>
      <c r="B19" t="s">
        <v>3</v>
      </c>
      <c r="C19" s="5"/>
    </row>
    <row r="20" spans="1:3" x14ac:dyDescent="0.35">
      <c r="A20" t="s">
        <v>303</v>
      </c>
      <c r="B20" t="s">
        <v>3</v>
      </c>
      <c r="C20" s="5"/>
    </row>
    <row r="21" spans="1:3" x14ac:dyDescent="0.35">
      <c r="A21" t="s">
        <v>304</v>
      </c>
      <c r="B21" t="s">
        <v>3</v>
      </c>
      <c r="C21" s="5"/>
    </row>
    <row r="22" spans="1:3" x14ac:dyDescent="0.35">
      <c r="A22" t="s">
        <v>305</v>
      </c>
      <c r="B22" t="s">
        <v>3</v>
      </c>
      <c r="C22" s="5"/>
    </row>
    <row r="23" spans="1:3" x14ac:dyDescent="0.35">
      <c r="A23" t="s">
        <v>306</v>
      </c>
      <c r="B23" t="s">
        <v>3</v>
      </c>
      <c r="C23" s="5"/>
    </row>
    <row r="24" spans="1:3" x14ac:dyDescent="0.35">
      <c r="A24" t="s">
        <v>307</v>
      </c>
      <c r="B24" t="s">
        <v>3</v>
      </c>
      <c r="C24" s="5"/>
    </row>
    <row r="25" spans="1:3" x14ac:dyDescent="0.35">
      <c r="A25" t="s">
        <v>308</v>
      </c>
      <c r="B25" t="s">
        <v>3</v>
      </c>
      <c r="C25" s="5"/>
    </row>
    <row r="26" spans="1:3" x14ac:dyDescent="0.35">
      <c r="C26" s="5"/>
    </row>
    <row r="27" spans="1:3" x14ac:dyDescent="0.35">
      <c r="C27" s="5"/>
    </row>
    <row r="28" spans="1:3" x14ac:dyDescent="0.35">
      <c r="C28" s="5"/>
    </row>
    <row r="29" spans="1:3" x14ac:dyDescent="0.35">
      <c r="C29" s="5"/>
    </row>
    <row r="30" spans="1:3" x14ac:dyDescent="0.35">
      <c r="C30" s="5"/>
    </row>
    <row r="31" spans="1:3" x14ac:dyDescent="0.35">
      <c r="C31" s="5"/>
    </row>
    <row r="32" spans="1:3" x14ac:dyDescent="0.35">
      <c r="C32" s="5"/>
    </row>
    <row r="33" spans="3:3" x14ac:dyDescent="0.35">
      <c r="C33" s="5"/>
    </row>
    <row r="34" spans="3:3" x14ac:dyDescent="0.35">
      <c r="C34" s="5"/>
    </row>
    <row r="35" spans="3:3" x14ac:dyDescent="0.35">
      <c r="C35" s="5"/>
    </row>
  </sheetData>
  <conditionalFormatting sqref="A7:A23">
    <cfRule type="expression" dxfId="604" priority="14">
      <formula>B7="Fail"</formula>
    </cfRule>
    <cfRule type="expression" dxfId="603" priority="15">
      <formula>B7="Pending"</formula>
    </cfRule>
  </conditionalFormatting>
  <conditionalFormatting sqref="A7:A23">
    <cfRule type="expression" dxfId="602" priority="13">
      <formula>B7="Pass"</formula>
    </cfRule>
  </conditionalFormatting>
  <conditionalFormatting sqref="A6">
    <cfRule type="expression" dxfId="601" priority="11">
      <formula>B6="Fail"</formula>
    </cfRule>
    <cfRule type="expression" dxfId="600" priority="12">
      <formula>B6="Pending"</formula>
    </cfRule>
  </conditionalFormatting>
  <conditionalFormatting sqref="A6">
    <cfRule type="expression" dxfId="599" priority="10">
      <formula>B6="Pass"</formula>
    </cfRule>
  </conditionalFormatting>
  <conditionalFormatting sqref="A24">
    <cfRule type="expression" dxfId="598" priority="8">
      <formula>B24="Fail"</formula>
    </cfRule>
    <cfRule type="expression" dxfId="597" priority="9">
      <formula>B24="Pending"</formula>
    </cfRule>
  </conditionalFormatting>
  <conditionalFormatting sqref="A24">
    <cfRule type="expression" dxfId="596" priority="7">
      <formula>B24="Pass"</formula>
    </cfRule>
  </conditionalFormatting>
  <conditionalFormatting sqref="A25">
    <cfRule type="expression" dxfId="595" priority="5">
      <formula>B25="Fail"</formula>
    </cfRule>
    <cfRule type="expression" dxfId="594" priority="6">
      <formula>B25="Pending"</formula>
    </cfRule>
  </conditionalFormatting>
  <conditionalFormatting sqref="A25">
    <cfRule type="expression" dxfId="593" priority="4">
      <formula>B25="Pass"</formula>
    </cfRule>
  </conditionalFormatting>
  <conditionalFormatting sqref="A26:A35">
    <cfRule type="expression" dxfId="592" priority="2">
      <formula>B26="Fail"</formula>
    </cfRule>
    <cfRule type="expression" dxfId="591" priority="3">
      <formula>B26="Pending"</formula>
    </cfRule>
  </conditionalFormatting>
  <conditionalFormatting sqref="A26:A35">
    <cfRule type="expression" dxfId="590" priority="1">
      <formula>B26="Pass"</formula>
    </cfRule>
  </conditionalFormatting>
  <dataValidations count="1">
    <dataValidation type="list" allowBlank="1" showInputMessage="1" showErrorMessage="1" sqref="B6:B25" xr:uid="{00000000-0002-0000-07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6" operator="containsText" id="{C6B7B3F4-EA9F-415A-9CC6-19DAAEEBE524}">
            <xm:f>NOT(ISERROR(SEARCH($A$1,B6)))</xm:f>
            <xm:f>$A$1</xm:f>
            <x14:dxf>
              <font>
                <b val="0"/>
                <i val="0"/>
                <color theme="9" tint="-0.499984740745262"/>
              </font>
              <fill>
                <patternFill>
                  <bgColor theme="9" tint="0.59996337778862885"/>
                </patternFill>
              </fill>
            </x14:dxf>
          </x14:cfRule>
          <x14:cfRule type="containsText" priority="17" operator="containsText" id="{6315F507-B54C-48E4-8203-25AA786D9B09}">
            <xm:f>NOT(ISERROR(SEARCH($A$2,B6)))</xm:f>
            <xm:f>$A$2</xm:f>
            <x14:dxf>
              <font>
                <b val="0"/>
                <i val="0"/>
                <color rgb="FFC00000"/>
              </font>
              <fill>
                <patternFill>
                  <bgColor rgb="FFFFCCCC"/>
                </patternFill>
              </fill>
            </x14:dxf>
          </x14:cfRule>
          <x14:cfRule type="containsText" priority="18" operator="containsText" id="{AD30FB7F-A1E1-4CE9-80C6-ECCE8AB5813C}">
            <xm:f>NOT(ISERROR(SEARCH($A$3,B6)))</xm:f>
            <xm:f>$A$3</xm:f>
            <x14:dxf>
              <font>
                <b val="0"/>
                <i val="0"/>
                <color theme="7" tint="-0.499984740745262"/>
              </font>
              <fill>
                <patternFill>
                  <bgColor theme="7" tint="0.59996337778862885"/>
                </patternFill>
              </fill>
            </x14:dxf>
          </x14:cfRule>
          <xm:sqref>B6:B25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Overview!$C$9:$C$12</xm:f>
          </x14:formula1>
          <xm:sqref>D6:D25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5"/>
  <sheetViews>
    <sheetView workbookViewId="0">
      <selection activeCell="C15" sqref="C15"/>
    </sheetView>
  </sheetViews>
  <sheetFormatPr defaultRowHeight="14.5" x14ac:dyDescent="0.35"/>
  <cols>
    <col min="1" max="1" width="10.6328125" customWidth="1"/>
    <col min="3" max="3" width="73.453125" style="5" customWidth="1"/>
    <col min="4" max="4" width="12.90625" bestFit="1" customWidth="1"/>
    <col min="5" max="5" width="44.1796875" customWidth="1"/>
  </cols>
  <sheetData>
    <row r="1" spans="1:5" x14ac:dyDescent="0.35">
      <c r="A1" s="4" t="s">
        <v>0</v>
      </c>
      <c r="B1" s="4" t="s">
        <v>5</v>
      </c>
      <c r="C1" s="6" t="s">
        <v>187</v>
      </c>
      <c r="D1" s="4" t="s">
        <v>285</v>
      </c>
      <c r="E1" s="137" t="s">
        <v>515</v>
      </c>
    </row>
    <row r="2" spans="1:5" x14ac:dyDescent="0.35">
      <c r="A2" t="s">
        <v>593</v>
      </c>
      <c r="B2" t="s">
        <v>1</v>
      </c>
      <c r="C2" s="7" t="s">
        <v>1107</v>
      </c>
    </row>
    <row r="3" spans="1:5" ht="58" x14ac:dyDescent="0.35">
      <c r="A3" t="s">
        <v>8</v>
      </c>
      <c r="B3" t="s">
        <v>2</v>
      </c>
      <c r="C3" s="7" t="s">
        <v>630</v>
      </c>
    </row>
    <row r="4" spans="1:5" x14ac:dyDescent="0.35">
      <c r="A4" t="s">
        <v>594</v>
      </c>
      <c r="B4" t="s">
        <v>1</v>
      </c>
      <c r="C4" s="7" t="s">
        <v>1107</v>
      </c>
    </row>
    <row r="5" spans="1:5" x14ac:dyDescent="0.35">
      <c r="A5" t="s">
        <v>595</v>
      </c>
      <c r="B5" t="s">
        <v>1</v>
      </c>
      <c r="C5" s="7" t="s">
        <v>1107</v>
      </c>
      <c r="E5" s="8"/>
    </row>
  </sheetData>
  <conditionalFormatting sqref="A2:A5">
    <cfRule type="expression" dxfId="584" priority="5">
      <formula>B2="Fail"</formula>
    </cfRule>
    <cfRule type="expression" dxfId="583" priority="6">
      <formula>B2="Pending"</formula>
    </cfRule>
  </conditionalFormatting>
  <conditionalFormatting sqref="A2:A5">
    <cfRule type="expression" dxfId="582" priority="4">
      <formula>B2="Pass"</formula>
    </cfRule>
  </conditionalFormatting>
  <dataValidations count="1">
    <dataValidation type="list" allowBlank="1" showInputMessage="1" showErrorMessage="1" sqref="B2:B5" xr:uid="{00000000-0002-0000-08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7" operator="containsText" id="{E1783B5B-0C8B-4A52-B077-10651DAD36E4}">
            <xm:f>NOT(ISERROR(SEARCH(#REF!,B2)))</xm:f>
            <xm:f>#REF!</xm:f>
            <x14:dxf>
              <font>
                <b val="0"/>
                <i val="0"/>
                <color theme="9" tint="-0.499984740745262"/>
              </font>
              <fill>
                <patternFill>
                  <bgColor theme="9" tint="0.59996337778862885"/>
                </patternFill>
              </fill>
            </x14:dxf>
          </x14:cfRule>
          <x14:cfRule type="containsText" priority="8" operator="containsText" id="{14AEE263-A8B8-4166-BA1D-F2B17EE437A2}">
            <xm:f>NOT(ISERROR(SEARCH(#REF!,B2)))</xm:f>
            <xm:f>#REF!</xm:f>
            <x14:dxf>
              <font>
                <b val="0"/>
                <i val="0"/>
                <color rgb="FFC00000"/>
              </font>
              <fill>
                <patternFill>
                  <bgColor rgb="FFFFCCCC"/>
                </patternFill>
              </fill>
            </x14:dxf>
          </x14:cfRule>
          <x14:cfRule type="containsText" priority="9" operator="containsText" id="{55B4C7F3-7C7B-4C18-B403-91DB63D21077}">
            <xm:f>NOT(ISERROR(SEARCH(#REF!,B2)))</xm:f>
            <xm:f>#REF!</xm:f>
            <x14:dxf>
              <font>
                <b val="0"/>
                <i val="0"/>
                <color theme="7" tint="-0.499984740745262"/>
              </font>
              <fill>
                <patternFill>
                  <bgColor theme="7" tint="0.59996337778862885"/>
                </patternFill>
              </fill>
            </x14:dxf>
          </x14:cfRule>
          <xm:sqref>B2:B3</xm:sqref>
        </x14:conditionalFormatting>
        <x14:conditionalFormatting xmlns:xm="http://schemas.microsoft.com/office/excel/2006/main">
          <x14:cfRule type="containsText" priority="1" operator="containsText" id="{282F3BFA-5E9A-4679-96F2-B5C621AB620B}">
            <xm:f>NOT(ISERROR(SEARCH(#REF!,B4)))</xm:f>
            <xm:f>#REF!</xm:f>
            <x14:dxf>
              <font>
                <b val="0"/>
                <i val="0"/>
                <color theme="9" tint="-0.499984740745262"/>
              </font>
              <fill>
                <patternFill>
                  <bgColor theme="9" tint="0.59996337778862885"/>
                </patternFill>
              </fill>
            </x14:dxf>
          </x14:cfRule>
          <x14:cfRule type="containsText" priority="2" operator="containsText" id="{A5CCDA2E-19A6-4F84-AFF7-D1D6E7419679}">
            <xm:f>NOT(ISERROR(SEARCH(#REF!,B4)))</xm:f>
            <xm:f>#REF!</xm:f>
            <x14:dxf>
              <font>
                <b val="0"/>
                <i val="0"/>
                <color rgb="FFC00000"/>
              </font>
              <fill>
                <patternFill>
                  <bgColor rgb="FFFFCCCC"/>
                </patternFill>
              </fill>
            </x14:dxf>
          </x14:cfRule>
          <x14:cfRule type="containsText" priority="3" operator="containsText" id="{AA022083-63A4-45D8-82F8-4173C5366122}">
            <xm:f>NOT(ISERROR(SEARCH(#REF!,B4)))</xm:f>
            <xm:f>#REF!</xm:f>
            <x14:dxf>
              <font>
                <b val="0"/>
                <i val="0"/>
                <color theme="7" tint="-0.499984740745262"/>
              </font>
              <fill>
                <patternFill>
                  <bgColor theme="7" tint="0.59996337778862885"/>
                </patternFill>
              </fill>
            </x14:dxf>
          </x14:cfRule>
          <xm:sqref>B4:B5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Overview!$C$9:$C$12</xm:f>
          </x14:formula1>
          <xm:sqref>D2:D5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H38"/>
  <sheetViews>
    <sheetView topLeftCell="A9" workbookViewId="0">
      <selection activeCell="B20" sqref="B20"/>
    </sheetView>
  </sheetViews>
  <sheetFormatPr defaultRowHeight="14.5" x14ac:dyDescent="0.35"/>
  <cols>
    <col min="1" max="1" width="10.6328125" customWidth="1"/>
    <col min="2" max="2" width="11.453125" customWidth="1"/>
    <col min="3" max="3" width="73.453125" style="5" customWidth="1"/>
    <col min="4" max="4" width="12.90625" bestFit="1" customWidth="1"/>
    <col min="5" max="5" width="44.1796875" customWidth="1"/>
  </cols>
  <sheetData>
    <row r="1" spans="1:5" x14ac:dyDescent="0.35">
      <c r="A1" s="4" t="s">
        <v>0</v>
      </c>
      <c r="B1" s="4" t="s">
        <v>5</v>
      </c>
      <c r="C1" s="6" t="s">
        <v>187</v>
      </c>
      <c r="D1" s="4" t="s">
        <v>285</v>
      </c>
      <c r="E1" s="137" t="s">
        <v>515</v>
      </c>
    </row>
    <row r="2" spans="1:5" ht="116" x14ac:dyDescent="0.35">
      <c r="A2" t="s">
        <v>188</v>
      </c>
      <c r="B2" t="s">
        <v>2</v>
      </c>
      <c r="C2" s="5" t="s">
        <v>1048</v>
      </c>
    </row>
    <row r="3" spans="1:5" ht="43.5" x14ac:dyDescent="0.35">
      <c r="A3" t="s">
        <v>189</v>
      </c>
      <c r="B3" t="s">
        <v>1</v>
      </c>
      <c r="C3" s="5" t="s">
        <v>1061</v>
      </c>
      <c r="E3" s="8"/>
    </row>
    <row r="4" spans="1:5" ht="87" x14ac:dyDescent="0.35">
      <c r="A4" t="s">
        <v>190</v>
      </c>
      <c r="B4" t="s">
        <v>2</v>
      </c>
      <c r="C4" s="192" t="s">
        <v>1049</v>
      </c>
      <c r="D4" s="193"/>
    </row>
    <row r="5" spans="1:5" x14ac:dyDescent="0.35">
      <c r="A5" t="s">
        <v>191</v>
      </c>
      <c r="B5" t="s">
        <v>1</v>
      </c>
      <c r="C5" s="5" t="s">
        <v>1050</v>
      </c>
    </row>
    <row r="6" spans="1:5" ht="72.5" x14ac:dyDescent="0.35">
      <c r="A6" t="s">
        <v>192</v>
      </c>
      <c r="B6" t="s">
        <v>2</v>
      </c>
      <c r="C6" s="5" t="s">
        <v>1051</v>
      </c>
    </row>
    <row r="7" spans="1:5" ht="43.5" x14ac:dyDescent="0.35">
      <c r="A7" t="s">
        <v>193</v>
      </c>
      <c r="B7" t="s">
        <v>2</v>
      </c>
      <c r="C7" s="5" t="s">
        <v>1062</v>
      </c>
    </row>
    <row r="8" spans="1:5" ht="72.5" x14ac:dyDescent="0.35">
      <c r="A8" t="s">
        <v>194</v>
      </c>
      <c r="B8" t="s">
        <v>2</v>
      </c>
      <c r="C8" s="5" t="s">
        <v>1053</v>
      </c>
    </row>
    <row r="9" spans="1:5" ht="43.5" x14ac:dyDescent="0.35">
      <c r="A9" t="s">
        <v>195</v>
      </c>
      <c r="B9" t="s">
        <v>2</v>
      </c>
      <c r="C9" s="5" t="s">
        <v>1054</v>
      </c>
    </row>
    <row r="10" spans="1:5" ht="43.5" x14ac:dyDescent="0.35">
      <c r="A10" t="s">
        <v>196</v>
      </c>
      <c r="B10" t="s">
        <v>2</v>
      </c>
      <c r="C10" s="5" t="s">
        <v>1054</v>
      </c>
    </row>
    <row r="11" spans="1:5" ht="58" x14ac:dyDescent="0.35">
      <c r="A11" t="s">
        <v>197</v>
      </c>
      <c r="B11" t="s">
        <v>2</v>
      </c>
      <c r="C11" s="192" t="s">
        <v>1055</v>
      </c>
      <c r="D11" s="193"/>
    </row>
    <row r="12" spans="1:5" ht="43.5" x14ac:dyDescent="0.35">
      <c r="A12" t="s">
        <v>198</v>
      </c>
      <c r="B12" t="s">
        <v>2</v>
      </c>
      <c r="C12" s="5" t="s">
        <v>1052</v>
      </c>
    </row>
    <row r="13" spans="1:5" ht="43.5" x14ac:dyDescent="0.35">
      <c r="A13" t="s">
        <v>199</v>
      </c>
      <c r="B13" t="s">
        <v>2</v>
      </c>
      <c r="C13" s="5" t="s">
        <v>1054</v>
      </c>
    </row>
    <row r="14" spans="1:5" x14ac:dyDescent="0.35">
      <c r="A14" t="s">
        <v>200</v>
      </c>
      <c r="B14" t="s">
        <v>1</v>
      </c>
      <c r="C14" s="5" t="s">
        <v>1056</v>
      </c>
    </row>
    <row r="15" spans="1:5" ht="29" x14ac:dyDescent="0.35">
      <c r="A15" t="s">
        <v>201</v>
      </c>
      <c r="B15" t="s">
        <v>1</v>
      </c>
      <c r="C15" s="192" t="s">
        <v>1057</v>
      </c>
      <c r="D15" s="193"/>
    </row>
    <row r="16" spans="1:5" ht="43.5" x14ac:dyDescent="0.35">
      <c r="A16" t="s">
        <v>676</v>
      </c>
      <c r="B16" t="s">
        <v>2</v>
      </c>
      <c r="C16" s="5" t="s">
        <v>1054</v>
      </c>
    </row>
    <row r="17" spans="1:8" ht="43.5" x14ac:dyDescent="0.35">
      <c r="A17" t="s">
        <v>202</v>
      </c>
      <c r="B17" t="s">
        <v>2</v>
      </c>
      <c r="C17" s="5" t="s">
        <v>1063</v>
      </c>
    </row>
    <row r="18" spans="1:8" ht="43.5" x14ac:dyDescent="0.35">
      <c r="A18" t="s">
        <v>203</v>
      </c>
      <c r="B18" t="s">
        <v>2</v>
      </c>
      <c r="C18" s="5" t="s">
        <v>1054</v>
      </c>
    </row>
    <row r="19" spans="1:8" ht="43.5" x14ac:dyDescent="0.35">
      <c r="A19" t="s">
        <v>204</v>
      </c>
      <c r="B19" t="s">
        <v>2</v>
      </c>
      <c r="C19" s="5" t="s">
        <v>1054</v>
      </c>
    </row>
    <row r="20" spans="1:8" ht="72.5" x14ac:dyDescent="0.35">
      <c r="A20" t="s">
        <v>677</v>
      </c>
      <c r="B20" t="s">
        <v>2</v>
      </c>
      <c r="C20" s="5" t="s">
        <v>1058</v>
      </c>
      <c r="G20" s="5"/>
    </row>
    <row r="21" spans="1:8" x14ac:dyDescent="0.35">
      <c r="G21" s="5"/>
    </row>
    <row r="22" spans="1:8" x14ac:dyDescent="0.35">
      <c r="B22" s="191"/>
      <c r="C22" s="192"/>
      <c r="D22" s="193"/>
      <c r="F22" s="191"/>
      <c r="G22" s="192"/>
      <c r="H22" s="193"/>
    </row>
    <row r="23" spans="1:8" x14ac:dyDescent="0.35">
      <c r="G23" s="5"/>
    </row>
    <row r="24" spans="1:8" x14ac:dyDescent="0.35">
      <c r="G24" s="5"/>
    </row>
    <row r="25" spans="1:8" x14ac:dyDescent="0.35">
      <c r="G25" s="5"/>
    </row>
    <row r="26" spans="1:8" x14ac:dyDescent="0.35">
      <c r="G26" s="5"/>
    </row>
    <row r="27" spans="1:8" x14ac:dyDescent="0.35">
      <c r="G27" s="5"/>
    </row>
    <row r="28" spans="1:8" x14ac:dyDescent="0.35">
      <c r="G28" s="5"/>
    </row>
    <row r="29" spans="1:8" x14ac:dyDescent="0.35">
      <c r="B29" s="191"/>
      <c r="C29" s="192"/>
      <c r="D29" s="193"/>
      <c r="F29" s="191"/>
      <c r="G29" s="192"/>
      <c r="H29" s="193"/>
    </row>
    <row r="30" spans="1:8" x14ac:dyDescent="0.35">
      <c r="G30" s="5"/>
    </row>
    <row r="31" spans="1:8" x14ac:dyDescent="0.35">
      <c r="G31" s="5"/>
    </row>
    <row r="32" spans="1:8" x14ac:dyDescent="0.35">
      <c r="G32" s="5"/>
    </row>
    <row r="33" spans="2:8" x14ac:dyDescent="0.35">
      <c r="B33" s="191"/>
      <c r="C33" s="192"/>
      <c r="D33" s="193"/>
      <c r="F33" s="191"/>
      <c r="G33" s="192"/>
      <c r="H33" s="193"/>
    </row>
    <row r="34" spans="2:8" x14ac:dyDescent="0.35">
      <c r="G34" s="5"/>
    </row>
    <row r="35" spans="2:8" x14ac:dyDescent="0.35">
      <c r="G35" s="5"/>
    </row>
    <row r="36" spans="2:8" x14ac:dyDescent="0.35">
      <c r="G36" s="5"/>
    </row>
    <row r="37" spans="2:8" x14ac:dyDescent="0.35">
      <c r="G37" s="5"/>
    </row>
    <row r="38" spans="2:8" x14ac:dyDescent="0.35">
      <c r="G38" s="5"/>
    </row>
  </sheetData>
  <conditionalFormatting sqref="A4">
    <cfRule type="expression" dxfId="573" priority="62">
      <formula>B4="Fail"</formula>
    </cfRule>
    <cfRule type="expression" dxfId="572" priority="63">
      <formula>B4="Pending"</formula>
    </cfRule>
  </conditionalFormatting>
  <conditionalFormatting sqref="A4">
    <cfRule type="expression" dxfId="571" priority="61">
      <formula>B4="Pass"</formula>
    </cfRule>
  </conditionalFormatting>
  <conditionalFormatting sqref="A2:A3">
    <cfRule type="expression" dxfId="570" priority="59">
      <formula>B2="Fail"</formula>
    </cfRule>
    <cfRule type="expression" dxfId="569" priority="60">
      <formula>B2="Pending"</formula>
    </cfRule>
  </conditionalFormatting>
  <conditionalFormatting sqref="A2:A3">
    <cfRule type="expression" dxfId="568" priority="58">
      <formula>B2="Pass"</formula>
    </cfRule>
  </conditionalFormatting>
  <conditionalFormatting sqref="A5:A13">
    <cfRule type="expression" dxfId="567" priority="41">
      <formula>B5="Fail"</formula>
    </cfRule>
    <cfRule type="expression" dxfId="566" priority="42">
      <formula>B5="Pending"</formula>
    </cfRule>
  </conditionalFormatting>
  <conditionalFormatting sqref="A5:A13">
    <cfRule type="expression" dxfId="565" priority="40">
      <formula>B5="Pass"</formula>
    </cfRule>
  </conditionalFormatting>
  <conditionalFormatting sqref="A14:A20">
    <cfRule type="expression" dxfId="564" priority="38">
      <formula>B14="Fail"</formula>
    </cfRule>
    <cfRule type="expression" dxfId="563" priority="39">
      <formula>B14="Pending"</formula>
    </cfRule>
  </conditionalFormatting>
  <conditionalFormatting sqref="A14:A20">
    <cfRule type="expression" dxfId="562" priority="37">
      <formula>B14="Pass"</formula>
    </cfRule>
  </conditionalFormatting>
  <dataValidations count="1">
    <dataValidation type="list" allowBlank="1" showInputMessage="1" showErrorMessage="1" sqref="F33 F29 F22 B33 B29 B22" xr:uid="{00000000-0002-0000-09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88" operator="containsText" id="{661C587E-CE6D-495F-9FCD-46FC1E94424C}">
            <xm:f>NOT(ISERROR(SEARCH(#REF!,B22)))</xm:f>
            <xm:f>#REF!</xm:f>
            <x14:dxf>
              <font>
                <b val="0"/>
                <i val="0"/>
                <color theme="9" tint="-0.499984740745262"/>
              </font>
              <fill>
                <patternFill>
                  <bgColor theme="9" tint="0.59996337778862885"/>
                </patternFill>
              </fill>
            </x14:dxf>
          </x14:cfRule>
          <x14:cfRule type="containsText" priority="89" operator="containsText" id="{CB14D60B-A41D-4C5F-B588-6FAADC705CCB}">
            <xm:f>NOT(ISERROR(SEARCH(#REF!,B22)))</xm:f>
            <xm:f>#REF!</xm:f>
            <x14:dxf>
              <font>
                <b val="0"/>
                <i val="0"/>
                <color rgb="FFC00000"/>
              </font>
              <fill>
                <patternFill>
                  <bgColor rgb="FFFFCCCC"/>
                </patternFill>
              </fill>
            </x14:dxf>
          </x14:cfRule>
          <x14:cfRule type="containsText" priority="90" operator="containsText" id="{0223660B-A17B-4E44-81A6-F3FDE16317A8}">
            <xm:f>NOT(ISERROR(SEARCH(#REF!,B22)))</xm:f>
            <xm:f>#REF!</xm:f>
            <x14:dxf>
              <font>
                <b val="0"/>
                <i val="0"/>
                <color theme="7" tint="-0.499984740745262"/>
              </font>
              <fill>
                <patternFill>
                  <bgColor theme="7" tint="0.59996337778862885"/>
                </patternFill>
              </fill>
            </x14:dxf>
          </x14:cfRule>
          <xm:sqref>B22</xm:sqref>
        </x14:conditionalFormatting>
        <x14:conditionalFormatting xmlns:xm="http://schemas.microsoft.com/office/excel/2006/main">
          <x14:cfRule type="containsText" priority="85" operator="containsText" id="{DCF4272C-72E1-4C78-99E6-6963F13D27B1}">
            <xm:f>NOT(ISERROR(SEARCH(#REF!,B29)))</xm:f>
            <xm:f>#REF!</xm:f>
            <x14:dxf>
              <font>
                <b val="0"/>
                <i val="0"/>
                <color theme="9" tint="-0.499984740745262"/>
              </font>
              <fill>
                <patternFill>
                  <bgColor theme="9" tint="0.59996337778862885"/>
                </patternFill>
              </fill>
            </x14:dxf>
          </x14:cfRule>
          <x14:cfRule type="containsText" priority="86" operator="containsText" id="{546193C7-0CEF-4978-971B-CA040A3EB258}">
            <xm:f>NOT(ISERROR(SEARCH(#REF!,B29)))</xm:f>
            <xm:f>#REF!</xm:f>
            <x14:dxf>
              <font>
                <b val="0"/>
                <i val="0"/>
                <color rgb="FFC00000"/>
              </font>
              <fill>
                <patternFill>
                  <bgColor rgb="FFFFCCCC"/>
                </patternFill>
              </fill>
            </x14:dxf>
          </x14:cfRule>
          <x14:cfRule type="containsText" priority="87" operator="containsText" id="{EA07ADC2-4A5E-4799-A156-A08F45DE645E}">
            <xm:f>NOT(ISERROR(SEARCH(#REF!,B29)))</xm:f>
            <xm:f>#REF!</xm:f>
            <x14:dxf>
              <font>
                <b val="0"/>
                <i val="0"/>
                <color theme="7" tint="-0.499984740745262"/>
              </font>
              <fill>
                <patternFill>
                  <bgColor theme="7" tint="0.59996337778862885"/>
                </patternFill>
              </fill>
            </x14:dxf>
          </x14:cfRule>
          <xm:sqref>B29</xm:sqref>
        </x14:conditionalFormatting>
        <x14:conditionalFormatting xmlns:xm="http://schemas.microsoft.com/office/excel/2006/main">
          <x14:cfRule type="containsText" priority="82" operator="containsText" id="{FAB85B26-03D2-4B75-A271-3FF38785D71C}">
            <xm:f>NOT(ISERROR(SEARCH(#REF!,B33)))</xm:f>
            <xm:f>#REF!</xm:f>
            <x14:dxf>
              <font>
                <b val="0"/>
                <i val="0"/>
                <color theme="9" tint="-0.499984740745262"/>
              </font>
              <fill>
                <patternFill>
                  <bgColor theme="9" tint="0.59996337778862885"/>
                </patternFill>
              </fill>
            </x14:dxf>
          </x14:cfRule>
          <x14:cfRule type="containsText" priority="83" operator="containsText" id="{CDE55210-BB14-444C-A97A-F474D71C3136}">
            <xm:f>NOT(ISERROR(SEARCH(#REF!,B33)))</xm:f>
            <xm:f>#REF!</xm:f>
            <x14:dxf>
              <font>
                <b val="0"/>
                <i val="0"/>
                <color rgb="FFC00000"/>
              </font>
              <fill>
                <patternFill>
                  <bgColor rgb="FFFFCCCC"/>
                </patternFill>
              </fill>
            </x14:dxf>
          </x14:cfRule>
          <x14:cfRule type="containsText" priority="84" operator="containsText" id="{8882935F-DB1D-43A3-B4A6-37A0D5317D18}">
            <xm:f>NOT(ISERROR(SEARCH(#REF!,B33)))</xm:f>
            <xm:f>#REF!</xm:f>
            <x14:dxf>
              <font>
                <b val="0"/>
                <i val="0"/>
                <color theme="7" tint="-0.499984740745262"/>
              </font>
              <fill>
                <patternFill>
                  <bgColor theme="7" tint="0.59996337778862885"/>
                </patternFill>
              </fill>
            </x14:dxf>
          </x14:cfRule>
          <xm:sqref>B33</xm:sqref>
        </x14:conditionalFormatting>
        <x14:conditionalFormatting xmlns:xm="http://schemas.microsoft.com/office/excel/2006/main">
          <x14:cfRule type="containsText" priority="79" operator="containsText" id="{6131D0A5-216B-4D21-844F-1A072E04C46F}">
            <xm:f>NOT(ISERROR(SEARCH(#REF!,F22)))</xm:f>
            <xm:f>#REF!</xm:f>
            <x14:dxf>
              <font>
                <b val="0"/>
                <i val="0"/>
                <color theme="9" tint="-0.499984740745262"/>
              </font>
              <fill>
                <patternFill>
                  <bgColor theme="9" tint="0.59996337778862885"/>
                </patternFill>
              </fill>
            </x14:dxf>
          </x14:cfRule>
          <x14:cfRule type="containsText" priority="80" operator="containsText" id="{36983E68-8E2C-429B-8D20-8D82C0E26741}">
            <xm:f>NOT(ISERROR(SEARCH(#REF!,F22)))</xm:f>
            <xm:f>#REF!</xm:f>
            <x14:dxf>
              <font>
                <b val="0"/>
                <i val="0"/>
                <color rgb="FFC00000"/>
              </font>
              <fill>
                <patternFill>
                  <bgColor rgb="FFFFCCCC"/>
                </patternFill>
              </fill>
            </x14:dxf>
          </x14:cfRule>
          <x14:cfRule type="containsText" priority="81" operator="containsText" id="{34818480-B850-430D-8E4F-994AF68DF9AC}">
            <xm:f>NOT(ISERROR(SEARCH(#REF!,F22)))</xm:f>
            <xm:f>#REF!</xm:f>
            <x14:dxf>
              <font>
                <b val="0"/>
                <i val="0"/>
                <color theme="7" tint="-0.499984740745262"/>
              </font>
              <fill>
                <patternFill>
                  <bgColor theme="7" tint="0.59996337778862885"/>
                </patternFill>
              </fill>
            </x14:dxf>
          </x14:cfRule>
          <xm:sqref>F22</xm:sqref>
        </x14:conditionalFormatting>
        <x14:conditionalFormatting xmlns:xm="http://schemas.microsoft.com/office/excel/2006/main">
          <x14:cfRule type="containsText" priority="76" operator="containsText" id="{B308929A-E308-4D4B-95E1-3F7E0F7F46C7}">
            <xm:f>NOT(ISERROR(SEARCH(#REF!,F29)))</xm:f>
            <xm:f>#REF!</xm:f>
            <x14:dxf>
              <font>
                <b val="0"/>
                <i val="0"/>
                <color theme="9" tint="-0.499984740745262"/>
              </font>
              <fill>
                <patternFill>
                  <bgColor theme="9" tint="0.59996337778862885"/>
                </patternFill>
              </fill>
            </x14:dxf>
          </x14:cfRule>
          <x14:cfRule type="containsText" priority="77" operator="containsText" id="{CF61F189-7D3B-431C-858D-29567339FDE4}">
            <xm:f>NOT(ISERROR(SEARCH(#REF!,F29)))</xm:f>
            <xm:f>#REF!</xm:f>
            <x14:dxf>
              <font>
                <b val="0"/>
                <i val="0"/>
                <color rgb="FFC00000"/>
              </font>
              <fill>
                <patternFill>
                  <bgColor rgb="FFFFCCCC"/>
                </patternFill>
              </fill>
            </x14:dxf>
          </x14:cfRule>
          <x14:cfRule type="containsText" priority="78" operator="containsText" id="{0008BDA5-7E32-4DAA-8CBB-842304882CA8}">
            <xm:f>NOT(ISERROR(SEARCH(#REF!,F29)))</xm:f>
            <xm:f>#REF!</xm:f>
            <x14:dxf>
              <font>
                <b val="0"/>
                <i val="0"/>
                <color theme="7" tint="-0.499984740745262"/>
              </font>
              <fill>
                <patternFill>
                  <bgColor theme="7" tint="0.59996337778862885"/>
                </patternFill>
              </fill>
            </x14:dxf>
          </x14:cfRule>
          <xm:sqref>F29</xm:sqref>
        </x14:conditionalFormatting>
        <x14:conditionalFormatting xmlns:xm="http://schemas.microsoft.com/office/excel/2006/main">
          <x14:cfRule type="containsText" priority="73" operator="containsText" id="{943541B4-930C-48E1-A1C1-7E4CA8EB7D5F}">
            <xm:f>NOT(ISERROR(SEARCH(#REF!,F33)))</xm:f>
            <xm:f>#REF!</xm:f>
            <x14:dxf>
              <font>
                <b val="0"/>
                <i val="0"/>
                <color theme="9" tint="-0.499984740745262"/>
              </font>
              <fill>
                <patternFill>
                  <bgColor theme="9" tint="0.59996337778862885"/>
                </patternFill>
              </fill>
            </x14:dxf>
          </x14:cfRule>
          <x14:cfRule type="containsText" priority="74" operator="containsText" id="{3CCB7991-6BC3-49C9-B5AC-108EF8D366FB}">
            <xm:f>NOT(ISERROR(SEARCH(#REF!,F33)))</xm:f>
            <xm:f>#REF!</xm:f>
            <x14:dxf>
              <font>
                <b val="0"/>
                <i val="0"/>
                <color rgb="FFC00000"/>
              </font>
              <fill>
                <patternFill>
                  <bgColor rgb="FFFFCCCC"/>
                </patternFill>
              </fill>
            </x14:dxf>
          </x14:cfRule>
          <x14:cfRule type="containsText" priority="75" operator="containsText" id="{D449CA00-316E-4944-8130-9E8AA94D2A1B}">
            <xm:f>NOT(ISERROR(SEARCH(#REF!,F33)))</xm:f>
            <xm:f>#REF!</xm:f>
            <x14:dxf>
              <font>
                <b val="0"/>
                <i val="0"/>
                <color theme="7" tint="-0.499984740745262"/>
              </font>
              <fill>
                <patternFill>
                  <bgColor theme="7" tint="0.59996337778862885"/>
                </patternFill>
              </fill>
            </x14:dxf>
          </x14:cfRule>
          <xm:sqref>F33</xm:sqref>
        </x14:conditionalFormatting>
        <x14:conditionalFormatting xmlns:xm="http://schemas.microsoft.com/office/excel/2006/main">
          <x14:cfRule type="containsText" priority="52" operator="containsText" id="{1658AE7D-D994-4DC0-9F99-34E07F9424EB}">
            <xm:f>NOT(ISERROR(SEARCH(#REF!,B2)))</xm:f>
            <xm:f>#REF!</xm:f>
            <x14:dxf>
              <font>
                <b val="0"/>
                <i val="0"/>
                <color theme="9" tint="-0.499984740745262"/>
              </font>
              <fill>
                <patternFill>
                  <bgColor theme="9" tint="0.59996337778862885"/>
                </patternFill>
              </fill>
            </x14:dxf>
          </x14:cfRule>
          <x14:cfRule type="containsText" priority="53" operator="containsText" id="{4E3EE2B3-C6A5-4B8D-845E-350254B1ED7E}">
            <xm:f>NOT(ISERROR(SEARCH(#REF!,B2)))</xm:f>
            <xm:f>#REF!</xm:f>
            <x14:dxf>
              <font>
                <b val="0"/>
                <i val="0"/>
                <color rgb="FFC00000"/>
              </font>
              <fill>
                <patternFill>
                  <bgColor rgb="FFFFCCCC"/>
                </patternFill>
              </fill>
            </x14:dxf>
          </x14:cfRule>
          <x14:cfRule type="containsText" priority="54" operator="containsText" id="{C2D7A83D-A1B0-44F6-A96D-117FC308ECE1}">
            <xm:f>NOT(ISERROR(SEARCH(#REF!,B2)))</xm:f>
            <xm:f>#REF!</xm:f>
            <x14:dxf>
              <font>
                <b val="0"/>
                <i val="0"/>
                <color theme="7" tint="-0.499984740745262"/>
              </font>
              <fill>
                <patternFill>
                  <bgColor theme="7" tint="0.59996337778862885"/>
                </patternFill>
              </fill>
            </x14:dxf>
          </x14:cfRule>
          <xm:sqref>B2:B20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Overview!$C$9:$C$12</xm:f>
          </x14:formula1>
          <xm:sqref>H29 H33 D22 D29 D33 H22 D11 D15 D4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D21"/>
  <sheetViews>
    <sheetView workbookViewId="0">
      <selection activeCell="D10" sqref="D10"/>
    </sheetView>
  </sheetViews>
  <sheetFormatPr defaultRowHeight="14.5" x14ac:dyDescent="0.35"/>
  <cols>
    <col min="1" max="1" width="10.6328125" customWidth="1"/>
    <col min="3" max="3" width="58.453125" style="5" customWidth="1"/>
    <col min="4" max="4" width="12.90625" customWidth="1"/>
  </cols>
  <sheetData>
    <row r="1" spans="1:4" x14ac:dyDescent="0.35">
      <c r="A1" s="1" t="s">
        <v>1</v>
      </c>
      <c r="B1">
        <f>COUNTIF(Table3219[Result],"Pass")</f>
        <v>0</v>
      </c>
    </row>
    <row r="2" spans="1:4" x14ac:dyDescent="0.35">
      <c r="A2" s="2" t="s">
        <v>2</v>
      </c>
      <c r="B2">
        <f>COUNTIF(Table3219[Result],"Fail")</f>
        <v>0</v>
      </c>
    </row>
    <row r="3" spans="1:4" x14ac:dyDescent="0.35">
      <c r="A3" s="3" t="s">
        <v>3</v>
      </c>
      <c r="B3">
        <f>COUNTIF(Table3219[Result],"Pending")</f>
        <v>16</v>
      </c>
    </row>
    <row r="4" spans="1:4" x14ac:dyDescent="0.35">
      <c r="A4" t="s">
        <v>4</v>
      </c>
      <c r="B4">
        <f>COUNTA(Table3219[Result])</f>
        <v>16</v>
      </c>
    </row>
    <row r="5" spans="1:4" x14ac:dyDescent="0.35">
      <c r="A5" s="4" t="s">
        <v>0</v>
      </c>
      <c r="B5" s="4" t="s">
        <v>5</v>
      </c>
      <c r="C5" s="6" t="s">
        <v>187</v>
      </c>
      <c r="D5" s="4" t="s">
        <v>285</v>
      </c>
    </row>
    <row r="6" spans="1:4" x14ac:dyDescent="0.35">
      <c r="B6" t="s">
        <v>3</v>
      </c>
    </row>
    <row r="7" spans="1:4" x14ac:dyDescent="0.35">
      <c r="B7" t="s">
        <v>3</v>
      </c>
    </row>
    <row r="8" spans="1:4" x14ac:dyDescent="0.35">
      <c r="B8" t="s">
        <v>3</v>
      </c>
    </row>
    <row r="9" spans="1:4" x14ac:dyDescent="0.35">
      <c r="B9" t="s">
        <v>3</v>
      </c>
    </row>
    <row r="10" spans="1:4" x14ac:dyDescent="0.35">
      <c r="B10" t="s">
        <v>3</v>
      </c>
    </row>
    <row r="11" spans="1:4" x14ac:dyDescent="0.35">
      <c r="B11" t="s">
        <v>3</v>
      </c>
    </row>
    <row r="12" spans="1:4" x14ac:dyDescent="0.35">
      <c r="B12" t="s">
        <v>3</v>
      </c>
    </row>
    <row r="13" spans="1:4" x14ac:dyDescent="0.35">
      <c r="B13" t="s">
        <v>3</v>
      </c>
    </row>
    <row r="14" spans="1:4" x14ac:dyDescent="0.35">
      <c r="B14" t="s">
        <v>3</v>
      </c>
    </row>
    <row r="15" spans="1:4" x14ac:dyDescent="0.35">
      <c r="B15" t="s">
        <v>3</v>
      </c>
    </row>
    <row r="16" spans="1:4" x14ac:dyDescent="0.35">
      <c r="B16" t="s">
        <v>3</v>
      </c>
    </row>
    <row r="17" spans="2:2" x14ac:dyDescent="0.35">
      <c r="B17" t="s">
        <v>3</v>
      </c>
    </row>
    <row r="18" spans="2:2" x14ac:dyDescent="0.35">
      <c r="B18" t="s">
        <v>3</v>
      </c>
    </row>
    <row r="19" spans="2:2" x14ac:dyDescent="0.35">
      <c r="B19" t="s">
        <v>3</v>
      </c>
    </row>
    <row r="20" spans="2:2" x14ac:dyDescent="0.35">
      <c r="B20" t="s">
        <v>3</v>
      </c>
    </row>
    <row r="21" spans="2:2" x14ac:dyDescent="0.35">
      <c r="B21" t="s">
        <v>3</v>
      </c>
    </row>
  </sheetData>
  <conditionalFormatting sqref="A6:A21">
    <cfRule type="expression" dxfId="538" priority="2">
      <formula>B6="Fail"</formula>
    </cfRule>
    <cfRule type="expression" dxfId="537" priority="3">
      <formula>B6="Pending"</formula>
    </cfRule>
  </conditionalFormatting>
  <conditionalFormatting sqref="A6:A21">
    <cfRule type="expression" dxfId="536" priority="1">
      <formula>B6="Pass"</formula>
    </cfRule>
  </conditionalFormatting>
  <dataValidations count="1">
    <dataValidation type="list" allowBlank="1" showInputMessage="1" showErrorMessage="1" sqref="B6:B21" xr:uid="{00000000-0002-0000-0A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9633EDFA-42E9-4700-B19C-AD26DF7E664A}">
            <xm:f>NOT(ISERROR(SEARCH($A$1,B6)))</xm:f>
            <xm:f>$A$1</xm:f>
            <x14:dxf>
              <font>
                <b val="0"/>
                <i val="0"/>
                <color theme="9" tint="-0.499984740745262"/>
              </font>
              <fill>
                <patternFill>
                  <bgColor theme="9" tint="0.59996337778862885"/>
                </patternFill>
              </fill>
            </x14:dxf>
          </x14:cfRule>
          <x14:cfRule type="containsText" priority="5" operator="containsText" id="{C63404E3-5BEE-495F-B9A3-8EC7E26DC37F}">
            <xm:f>NOT(ISERROR(SEARCH($A$2,B6)))</xm:f>
            <xm:f>$A$2</xm:f>
            <x14:dxf>
              <font>
                <b val="0"/>
                <i val="0"/>
                <color rgb="FFC00000"/>
              </font>
              <fill>
                <patternFill>
                  <bgColor rgb="FFFFCCCC"/>
                </patternFill>
              </fill>
            </x14:dxf>
          </x14:cfRule>
          <x14:cfRule type="containsText" priority="6" operator="containsText" id="{EFB60834-D17D-4ADB-9032-60841A2A81F6}">
            <xm:f>NOT(ISERROR(SEARCH($A$3,B6)))</xm:f>
            <xm:f>$A$3</xm:f>
            <x14:dxf>
              <font>
                <b val="0"/>
                <i val="0"/>
                <color theme="7" tint="-0.499984740745262"/>
              </font>
              <fill>
                <patternFill>
                  <bgColor theme="7" tint="0.59996337778862885"/>
                </patternFill>
              </fill>
            </x14:dxf>
          </x14:cfRule>
          <xm:sqref>B6:B21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Overview!$C$9:$C$12</xm:f>
          </x14:formula1>
          <xm:sqref>D6:D21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E86"/>
  <sheetViews>
    <sheetView workbookViewId="0">
      <selection sqref="A1:C4"/>
    </sheetView>
  </sheetViews>
  <sheetFormatPr defaultRowHeight="14.5" x14ac:dyDescent="0.35"/>
  <cols>
    <col min="1" max="1" width="29.36328125" customWidth="1"/>
    <col min="3" max="3" width="73.453125" style="5" customWidth="1"/>
    <col min="4" max="4" width="12.90625" bestFit="1" customWidth="1"/>
    <col min="5" max="5" width="44.1796875" customWidth="1"/>
  </cols>
  <sheetData>
    <row r="1" spans="1:5" x14ac:dyDescent="0.35">
      <c r="A1" s="4" t="s">
        <v>0</v>
      </c>
      <c r="B1" s="4" t="s">
        <v>5</v>
      </c>
      <c r="C1" s="6" t="s">
        <v>187</v>
      </c>
      <c r="D1" s="4" t="s">
        <v>285</v>
      </c>
      <c r="E1" s="137" t="s">
        <v>515</v>
      </c>
    </row>
    <row r="2" spans="1:5" ht="72.5" x14ac:dyDescent="0.35">
      <c r="A2" t="s">
        <v>47</v>
      </c>
      <c r="B2" t="s">
        <v>2</v>
      </c>
      <c r="C2" s="7" t="s">
        <v>1123</v>
      </c>
    </row>
    <row r="3" spans="1:5" ht="43.5" x14ac:dyDescent="0.35">
      <c r="A3" t="s">
        <v>521</v>
      </c>
      <c r="B3" t="s">
        <v>2</v>
      </c>
      <c r="C3" s="7" t="s">
        <v>1038</v>
      </c>
    </row>
    <row r="4" spans="1:5" ht="101.5" x14ac:dyDescent="0.35">
      <c r="A4" t="s">
        <v>522</v>
      </c>
      <c r="B4" t="s">
        <v>2</v>
      </c>
      <c r="C4" s="7" t="s">
        <v>1130</v>
      </c>
    </row>
    <row r="5" spans="1:5" ht="72.5" x14ac:dyDescent="0.35">
      <c r="A5" t="s">
        <v>523</v>
      </c>
      <c r="B5" t="s">
        <v>2</v>
      </c>
      <c r="C5" s="7" t="s">
        <v>1065</v>
      </c>
      <c r="E5" s="8"/>
    </row>
    <row r="6" spans="1:5" x14ac:dyDescent="0.35">
      <c r="A6" t="s">
        <v>62</v>
      </c>
      <c r="B6" t="s">
        <v>1</v>
      </c>
      <c r="C6" s="5" t="s">
        <v>1039</v>
      </c>
    </row>
    <row r="7" spans="1:5" ht="29" x14ac:dyDescent="0.35">
      <c r="A7" t="s">
        <v>15</v>
      </c>
      <c r="B7" t="s">
        <v>2</v>
      </c>
      <c r="C7" s="5" t="s">
        <v>621</v>
      </c>
    </row>
    <row r="8" spans="1:5" ht="29" x14ac:dyDescent="0.35">
      <c r="A8" t="s">
        <v>16</v>
      </c>
      <c r="B8" t="s">
        <v>2</v>
      </c>
      <c r="C8" s="5" t="s">
        <v>621</v>
      </c>
    </row>
    <row r="9" spans="1:5" x14ac:dyDescent="0.35">
      <c r="A9" t="s">
        <v>524</v>
      </c>
      <c r="B9" t="s">
        <v>1</v>
      </c>
      <c r="C9" s="5" t="s">
        <v>597</v>
      </c>
    </row>
    <row r="10" spans="1:5" ht="72.5" x14ac:dyDescent="0.35">
      <c r="A10" t="s">
        <v>17</v>
      </c>
      <c r="B10" t="s">
        <v>2</v>
      </c>
      <c r="C10" s="5" t="s">
        <v>1132</v>
      </c>
      <c r="E10" t="s">
        <v>1115</v>
      </c>
    </row>
    <row r="11" spans="1:5" x14ac:dyDescent="0.35">
      <c r="A11" t="s">
        <v>525</v>
      </c>
      <c r="B11" t="s">
        <v>1</v>
      </c>
      <c r="C11" s="5" t="s">
        <v>597</v>
      </c>
    </row>
    <row r="12" spans="1:5" x14ac:dyDescent="0.35">
      <c r="A12" t="s">
        <v>526</v>
      </c>
      <c r="B12" t="s">
        <v>1</v>
      </c>
      <c r="C12" s="5" t="s">
        <v>597</v>
      </c>
    </row>
    <row r="13" spans="1:5" x14ac:dyDescent="0.35">
      <c r="A13" t="s">
        <v>527</v>
      </c>
      <c r="B13" t="s">
        <v>1</v>
      </c>
      <c r="C13" s="5" t="s">
        <v>597</v>
      </c>
    </row>
    <row r="14" spans="1:5" x14ac:dyDescent="0.35">
      <c r="A14" t="s">
        <v>528</v>
      </c>
      <c r="B14" t="s">
        <v>1</v>
      </c>
      <c r="C14" s="5" t="s">
        <v>597</v>
      </c>
    </row>
    <row r="15" spans="1:5" x14ac:dyDescent="0.35">
      <c r="A15" t="s">
        <v>18</v>
      </c>
      <c r="B15" t="s">
        <v>1</v>
      </c>
      <c r="C15" s="5" t="s">
        <v>597</v>
      </c>
    </row>
    <row r="16" spans="1:5" x14ac:dyDescent="0.35">
      <c r="A16" t="s">
        <v>19</v>
      </c>
      <c r="B16" t="s">
        <v>1</v>
      </c>
      <c r="C16" s="5" t="s">
        <v>597</v>
      </c>
    </row>
    <row r="17" spans="1:4" x14ac:dyDescent="0.35">
      <c r="A17" t="s">
        <v>20</v>
      </c>
      <c r="B17" t="s">
        <v>1</v>
      </c>
      <c r="C17" s="5" t="s">
        <v>597</v>
      </c>
    </row>
    <row r="18" spans="1:4" x14ac:dyDescent="0.35">
      <c r="A18" t="s">
        <v>21</v>
      </c>
      <c r="B18" t="s">
        <v>1</v>
      </c>
      <c r="C18" s="5" t="s">
        <v>597</v>
      </c>
    </row>
    <row r="19" spans="1:4" x14ac:dyDescent="0.35">
      <c r="A19" t="s">
        <v>529</v>
      </c>
      <c r="B19" t="s">
        <v>1</v>
      </c>
      <c r="C19" s="5" t="s">
        <v>597</v>
      </c>
    </row>
    <row r="20" spans="1:4" ht="29" x14ac:dyDescent="0.35">
      <c r="A20" t="s">
        <v>530</v>
      </c>
      <c r="B20" t="s">
        <v>2</v>
      </c>
      <c r="C20" s="5" t="s">
        <v>637</v>
      </c>
    </row>
    <row r="21" spans="1:4" x14ac:dyDescent="0.35">
      <c r="A21" t="s">
        <v>531</v>
      </c>
      <c r="B21" t="s">
        <v>1</v>
      </c>
      <c r="C21" s="5" t="s">
        <v>597</v>
      </c>
    </row>
    <row r="22" spans="1:4" ht="101.5" x14ac:dyDescent="0.35">
      <c r="A22" t="s">
        <v>532</v>
      </c>
      <c r="B22" t="s">
        <v>2</v>
      </c>
      <c r="C22" s="5" t="s">
        <v>1137</v>
      </c>
    </row>
    <row r="23" spans="1:4" x14ac:dyDescent="0.35">
      <c r="A23" t="s">
        <v>22</v>
      </c>
      <c r="B23" t="s">
        <v>1</v>
      </c>
      <c r="C23" s="5" t="s">
        <v>597</v>
      </c>
    </row>
    <row r="24" spans="1:4" x14ac:dyDescent="0.35">
      <c r="A24" t="s">
        <v>23</v>
      </c>
      <c r="B24" t="s">
        <v>1</v>
      </c>
      <c r="C24" s="5" t="s">
        <v>597</v>
      </c>
    </row>
    <row r="25" spans="1:4" ht="145" x14ac:dyDescent="0.35">
      <c r="A25" t="s">
        <v>533</v>
      </c>
      <c r="B25" t="s">
        <v>2</v>
      </c>
      <c r="C25" s="5" t="s">
        <v>1139</v>
      </c>
      <c r="D25" t="s">
        <v>509</v>
      </c>
    </row>
    <row r="26" spans="1:4" x14ac:dyDescent="0.35">
      <c r="A26" t="s">
        <v>24</v>
      </c>
      <c r="B26" t="s">
        <v>1</v>
      </c>
      <c r="C26" s="5" t="s">
        <v>597</v>
      </c>
    </row>
    <row r="27" spans="1:4" ht="58" x14ac:dyDescent="0.35">
      <c r="A27" t="s">
        <v>25</v>
      </c>
      <c r="B27" t="s">
        <v>2</v>
      </c>
      <c r="C27" s="5" t="s">
        <v>631</v>
      </c>
    </row>
    <row r="28" spans="1:4" ht="58" x14ac:dyDescent="0.35">
      <c r="A28" t="s">
        <v>26</v>
      </c>
      <c r="B28" t="s">
        <v>2</v>
      </c>
      <c r="C28" s="5" t="s">
        <v>631</v>
      </c>
    </row>
    <row r="29" spans="1:4" ht="29" x14ac:dyDescent="0.35">
      <c r="A29" t="s">
        <v>534</v>
      </c>
      <c r="B29" t="s">
        <v>2</v>
      </c>
      <c r="C29" s="5" t="s">
        <v>629</v>
      </c>
    </row>
    <row r="30" spans="1:4" ht="58" x14ac:dyDescent="0.35">
      <c r="A30" t="s">
        <v>535</v>
      </c>
      <c r="B30" t="s">
        <v>2</v>
      </c>
      <c r="C30" s="5" t="s">
        <v>1146</v>
      </c>
    </row>
    <row r="31" spans="1:4" ht="29" x14ac:dyDescent="0.35">
      <c r="A31" t="s">
        <v>536</v>
      </c>
      <c r="B31" t="s">
        <v>2</v>
      </c>
      <c r="C31" s="5" t="s">
        <v>1096</v>
      </c>
    </row>
    <row r="32" spans="1:4" ht="29" x14ac:dyDescent="0.35">
      <c r="A32" t="s">
        <v>57</v>
      </c>
      <c r="B32" t="s">
        <v>2</v>
      </c>
      <c r="C32" s="5" t="s">
        <v>1096</v>
      </c>
    </row>
    <row r="33" spans="1:4" ht="43.5" x14ac:dyDescent="0.35">
      <c r="A33" t="s">
        <v>27</v>
      </c>
      <c r="B33" t="s">
        <v>2</v>
      </c>
      <c r="C33" s="5" t="s">
        <v>1128</v>
      </c>
    </row>
    <row r="34" spans="1:4" x14ac:dyDescent="0.35">
      <c r="A34" t="s">
        <v>28</v>
      </c>
      <c r="B34" t="s">
        <v>1</v>
      </c>
      <c r="C34" s="5" t="s">
        <v>1089</v>
      </c>
    </row>
    <row r="35" spans="1:4" x14ac:dyDescent="0.35">
      <c r="A35" t="s">
        <v>58</v>
      </c>
      <c r="B35" t="s">
        <v>1</v>
      </c>
      <c r="C35" s="5" t="s">
        <v>1090</v>
      </c>
    </row>
    <row r="36" spans="1:4" x14ac:dyDescent="0.35">
      <c r="A36" t="s">
        <v>29</v>
      </c>
      <c r="B36" t="s">
        <v>1</v>
      </c>
      <c r="C36" s="5" t="s">
        <v>1090</v>
      </c>
    </row>
    <row r="37" spans="1:4" x14ac:dyDescent="0.35">
      <c r="A37" t="s">
        <v>30</v>
      </c>
      <c r="B37" t="s">
        <v>1</v>
      </c>
      <c r="C37" s="5" t="s">
        <v>1089</v>
      </c>
    </row>
    <row r="38" spans="1:4" x14ac:dyDescent="0.35">
      <c r="A38" t="s">
        <v>31</v>
      </c>
      <c r="B38" t="s">
        <v>1</v>
      </c>
      <c r="C38" s="5" t="s">
        <v>1091</v>
      </c>
    </row>
    <row r="39" spans="1:4" ht="43.5" x14ac:dyDescent="0.35">
      <c r="A39" t="s">
        <v>32</v>
      </c>
      <c r="B39" t="s">
        <v>2</v>
      </c>
      <c r="C39" s="5" t="s">
        <v>1124</v>
      </c>
    </row>
    <row r="40" spans="1:4" x14ac:dyDescent="0.35">
      <c r="A40" t="s">
        <v>33</v>
      </c>
      <c r="B40" t="s">
        <v>1</v>
      </c>
      <c r="C40" s="5" t="s">
        <v>1090</v>
      </c>
    </row>
    <row r="41" spans="1:4" x14ac:dyDescent="0.35">
      <c r="A41" t="s">
        <v>59</v>
      </c>
      <c r="B41" t="s">
        <v>1</v>
      </c>
      <c r="C41" s="5" t="s">
        <v>1089</v>
      </c>
    </row>
    <row r="42" spans="1:4" x14ac:dyDescent="0.35">
      <c r="A42" t="s">
        <v>60</v>
      </c>
      <c r="B42" t="s">
        <v>1</v>
      </c>
      <c r="C42" s="5" t="s">
        <v>1089</v>
      </c>
    </row>
    <row r="43" spans="1:4" ht="130.5" x14ac:dyDescent="0.35">
      <c r="A43" t="s">
        <v>537</v>
      </c>
      <c r="B43" t="s">
        <v>2</v>
      </c>
      <c r="C43" s="5" t="s">
        <v>1066</v>
      </c>
      <c r="D43" t="s">
        <v>509</v>
      </c>
    </row>
    <row r="44" spans="1:4" ht="130.5" x14ac:dyDescent="0.35">
      <c r="A44" t="s">
        <v>538</v>
      </c>
      <c r="B44" t="s">
        <v>2</v>
      </c>
      <c r="C44" s="5" t="s">
        <v>1040</v>
      </c>
    </row>
    <row r="45" spans="1:4" ht="43.5" x14ac:dyDescent="0.35">
      <c r="A45" t="s">
        <v>539</v>
      </c>
      <c r="B45" t="s">
        <v>2</v>
      </c>
      <c r="C45" s="5" t="s">
        <v>1060</v>
      </c>
    </row>
    <row r="46" spans="1:4" ht="116" x14ac:dyDescent="0.35">
      <c r="A46" t="s">
        <v>540</v>
      </c>
      <c r="B46" t="s">
        <v>2</v>
      </c>
      <c r="C46" s="5" t="s">
        <v>1041</v>
      </c>
    </row>
    <row r="47" spans="1:4" ht="116" x14ac:dyDescent="0.35">
      <c r="A47" t="s">
        <v>541</v>
      </c>
      <c r="B47" t="s">
        <v>2</v>
      </c>
      <c r="C47" s="5" t="s">
        <v>1041</v>
      </c>
    </row>
    <row r="48" spans="1:4" ht="116" x14ac:dyDescent="0.35">
      <c r="A48" t="s">
        <v>542</v>
      </c>
      <c r="B48" t="s">
        <v>2</v>
      </c>
      <c r="C48" s="5" t="s">
        <v>1041</v>
      </c>
    </row>
    <row r="49" spans="1:3" ht="116" x14ac:dyDescent="0.35">
      <c r="A49" t="s">
        <v>543</v>
      </c>
      <c r="B49" t="s">
        <v>2</v>
      </c>
      <c r="C49" s="5" t="s">
        <v>1041</v>
      </c>
    </row>
    <row r="50" spans="1:3" ht="116" x14ac:dyDescent="0.35">
      <c r="A50" t="s">
        <v>544</v>
      </c>
      <c r="B50" t="s">
        <v>2</v>
      </c>
      <c r="C50" s="5" t="s">
        <v>1041</v>
      </c>
    </row>
    <row r="51" spans="1:3" ht="116" x14ac:dyDescent="0.35">
      <c r="A51" t="s">
        <v>545</v>
      </c>
      <c r="B51" t="s">
        <v>2</v>
      </c>
      <c r="C51" s="5" t="s">
        <v>1041</v>
      </c>
    </row>
    <row r="52" spans="1:3" ht="29" x14ac:dyDescent="0.35">
      <c r="A52" t="s">
        <v>546</v>
      </c>
      <c r="B52" t="s">
        <v>1</v>
      </c>
      <c r="C52" s="5" t="s">
        <v>1131</v>
      </c>
    </row>
    <row r="53" spans="1:3" ht="116" x14ac:dyDescent="0.35">
      <c r="A53" t="s">
        <v>547</v>
      </c>
      <c r="B53" t="s">
        <v>2</v>
      </c>
      <c r="C53" s="5" t="s">
        <v>1041</v>
      </c>
    </row>
    <row r="54" spans="1:3" x14ac:dyDescent="0.35">
      <c r="A54" t="s">
        <v>548</v>
      </c>
      <c r="B54" t="s">
        <v>1</v>
      </c>
      <c r="C54" s="5" t="s">
        <v>1012</v>
      </c>
    </row>
    <row r="55" spans="1:3" x14ac:dyDescent="0.35">
      <c r="A55" t="s">
        <v>549</v>
      </c>
      <c r="B55" t="s">
        <v>1</v>
      </c>
      <c r="C55" s="5" t="s">
        <v>1012</v>
      </c>
    </row>
    <row r="56" spans="1:3" ht="72.5" x14ac:dyDescent="0.35">
      <c r="A56" t="s">
        <v>34</v>
      </c>
      <c r="B56" t="s">
        <v>2</v>
      </c>
      <c r="C56" s="5" t="s">
        <v>1097</v>
      </c>
    </row>
    <row r="57" spans="1:3" x14ac:dyDescent="0.35">
      <c r="A57" t="s">
        <v>550</v>
      </c>
      <c r="B57" t="s">
        <v>1</v>
      </c>
      <c r="C57" s="5" t="s">
        <v>1018</v>
      </c>
    </row>
    <row r="58" spans="1:3" ht="87" x14ac:dyDescent="0.35">
      <c r="A58" t="s">
        <v>35</v>
      </c>
      <c r="B58" t="s">
        <v>2</v>
      </c>
      <c r="C58" s="5" t="s">
        <v>1098</v>
      </c>
    </row>
    <row r="59" spans="1:3" ht="87" x14ac:dyDescent="0.35">
      <c r="A59" t="s">
        <v>551</v>
      </c>
      <c r="B59" t="s">
        <v>2</v>
      </c>
      <c r="C59" s="5" t="s">
        <v>1098</v>
      </c>
    </row>
    <row r="60" spans="1:3" x14ac:dyDescent="0.35">
      <c r="A60" t="s">
        <v>1099</v>
      </c>
      <c r="B60" t="s">
        <v>1</v>
      </c>
      <c r="C60" s="5" t="s">
        <v>1100</v>
      </c>
    </row>
    <row r="61" spans="1:3" ht="87" x14ac:dyDescent="0.35">
      <c r="A61" t="s">
        <v>552</v>
      </c>
      <c r="B61" t="s">
        <v>2</v>
      </c>
      <c r="C61" s="5" t="s">
        <v>1098</v>
      </c>
    </row>
    <row r="62" spans="1:3" ht="87" x14ac:dyDescent="0.35">
      <c r="A62" t="s">
        <v>36</v>
      </c>
      <c r="B62" t="s">
        <v>2</v>
      </c>
      <c r="C62" s="5" t="s">
        <v>1098</v>
      </c>
    </row>
    <row r="63" spans="1:3" ht="87" x14ac:dyDescent="0.35">
      <c r="A63" t="s">
        <v>37</v>
      </c>
      <c r="B63" t="s">
        <v>2</v>
      </c>
      <c r="C63" s="5" t="s">
        <v>1098</v>
      </c>
    </row>
    <row r="64" spans="1:3" ht="87" x14ac:dyDescent="0.35">
      <c r="A64" t="s">
        <v>553</v>
      </c>
      <c r="B64" t="s">
        <v>2</v>
      </c>
      <c r="C64" s="5" t="s">
        <v>1098</v>
      </c>
    </row>
    <row r="65" spans="1:3" ht="87" x14ac:dyDescent="0.35">
      <c r="A65" t="s">
        <v>38</v>
      </c>
      <c r="B65" t="s">
        <v>2</v>
      </c>
      <c r="C65" s="5" t="s">
        <v>1098</v>
      </c>
    </row>
    <row r="66" spans="1:3" ht="145" x14ac:dyDescent="0.35">
      <c r="A66" t="s">
        <v>554</v>
      </c>
      <c r="B66" t="s">
        <v>2</v>
      </c>
      <c r="C66" s="5" t="s">
        <v>1129</v>
      </c>
    </row>
    <row r="67" spans="1:3" ht="87" x14ac:dyDescent="0.35">
      <c r="A67" t="s">
        <v>39</v>
      </c>
      <c r="B67" t="s">
        <v>2</v>
      </c>
      <c r="C67" s="5" t="s">
        <v>1098</v>
      </c>
    </row>
    <row r="68" spans="1:3" ht="43.5" x14ac:dyDescent="0.35">
      <c r="A68" t="s">
        <v>555</v>
      </c>
      <c r="B68" t="s">
        <v>2</v>
      </c>
      <c r="C68" s="5" t="s">
        <v>1101</v>
      </c>
    </row>
    <row r="69" spans="1:3" ht="87" x14ac:dyDescent="0.35">
      <c r="A69" t="s">
        <v>556</v>
      </c>
      <c r="B69" t="s">
        <v>2</v>
      </c>
      <c r="C69" s="5" t="s">
        <v>1098</v>
      </c>
    </row>
    <row r="70" spans="1:3" ht="87" x14ac:dyDescent="0.35">
      <c r="A70" t="s">
        <v>40</v>
      </c>
      <c r="B70" t="s">
        <v>2</v>
      </c>
      <c r="C70" s="5" t="s">
        <v>1098</v>
      </c>
    </row>
    <row r="71" spans="1:3" ht="87" x14ac:dyDescent="0.35">
      <c r="A71" t="s">
        <v>41</v>
      </c>
      <c r="B71" t="s">
        <v>2</v>
      </c>
      <c r="C71" s="5" t="s">
        <v>1098</v>
      </c>
    </row>
    <row r="72" spans="1:3" ht="87" x14ac:dyDescent="0.35">
      <c r="A72" t="s">
        <v>42</v>
      </c>
      <c r="B72" t="s">
        <v>2</v>
      </c>
      <c r="C72" s="5" t="s">
        <v>1098</v>
      </c>
    </row>
    <row r="73" spans="1:3" ht="87" x14ac:dyDescent="0.35">
      <c r="A73" t="s">
        <v>43</v>
      </c>
      <c r="B73" t="s">
        <v>2</v>
      </c>
      <c r="C73" s="5" t="s">
        <v>1098</v>
      </c>
    </row>
    <row r="74" spans="1:3" ht="87" x14ac:dyDescent="0.35">
      <c r="A74" t="s">
        <v>557</v>
      </c>
      <c r="B74" t="s">
        <v>2</v>
      </c>
      <c r="C74" s="5" t="s">
        <v>1098</v>
      </c>
    </row>
    <row r="75" spans="1:3" ht="72.5" x14ac:dyDescent="0.35">
      <c r="A75" t="s">
        <v>44</v>
      </c>
      <c r="B75" t="s">
        <v>2</v>
      </c>
      <c r="C75" s="5" t="s">
        <v>1097</v>
      </c>
    </row>
    <row r="76" spans="1:3" ht="101.5" x14ac:dyDescent="0.35">
      <c r="A76" t="s">
        <v>45</v>
      </c>
      <c r="B76" t="s">
        <v>2</v>
      </c>
      <c r="C76" s="5" t="s">
        <v>1102</v>
      </c>
    </row>
    <row r="77" spans="1:3" ht="72.5" x14ac:dyDescent="0.35">
      <c r="A77" t="s">
        <v>46</v>
      </c>
      <c r="B77" t="s">
        <v>2</v>
      </c>
      <c r="C77" s="5" t="s">
        <v>1103</v>
      </c>
    </row>
    <row r="78" spans="1:3" x14ac:dyDescent="0.35">
      <c r="A78" t="s">
        <v>1092</v>
      </c>
      <c r="B78" t="s">
        <v>1</v>
      </c>
      <c r="C78" s="5" t="s">
        <v>1104</v>
      </c>
    </row>
    <row r="79" spans="1:3" x14ac:dyDescent="0.35">
      <c r="A79" t="s">
        <v>558</v>
      </c>
      <c r="B79" t="s">
        <v>1</v>
      </c>
      <c r="C79" s="5" t="s">
        <v>1094</v>
      </c>
    </row>
    <row r="80" spans="1:3" x14ac:dyDescent="0.35">
      <c r="A80" t="s">
        <v>559</v>
      </c>
      <c r="B80" t="s">
        <v>1</v>
      </c>
      <c r="C80" s="5" t="s">
        <v>1094</v>
      </c>
    </row>
    <row r="81" spans="1:3" x14ac:dyDescent="0.35">
      <c r="A81" t="s">
        <v>560</v>
      </c>
      <c r="B81" t="s">
        <v>1</v>
      </c>
      <c r="C81" s="5" t="s">
        <v>1094</v>
      </c>
    </row>
    <row r="82" spans="1:3" x14ac:dyDescent="0.35">
      <c r="A82" t="s">
        <v>1093</v>
      </c>
      <c r="B82" t="s">
        <v>1</v>
      </c>
      <c r="C82" s="5" t="s">
        <v>1104</v>
      </c>
    </row>
    <row r="83" spans="1:3" x14ac:dyDescent="0.35">
      <c r="A83" t="s">
        <v>561</v>
      </c>
      <c r="B83" t="s">
        <v>1</v>
      </c>
      <c r="C83" s="5" t="s">
        <v>1094</v>
      </c>
    </row>
    <row r="84" spans="1:3" x14ac:dyDescent="0.35">
      <c r="A84" t="s">
        <v>562</v>
      </c>
      <c r="B84" t="s">
        <v>1</v>
      </c>
      <c r="C84" s="5" t="s">
        <v>1094</v>
      </c>
    </row>
    <row r="85" spans="1:3" ht="58" x14ac:dyDescent="0.35">
      <c r="A85" t="s">
        <v>563</v>
      </c>
      <c r="B85" t="s">
        <v>2</v>
      </c>
      <c r="C85" s="5" t="s">
        <v>1147</v>
      </c>
    </row>
    <row r="86" spans="1:3" x14ac:dyDescent="0.35">
      <c r="A86" t="s">
        <v>564</v>
      </c>
      <c r="B86" t="s">
        <v>1</v>
      </c>
      <c r="C86" s="5" t="s">
        <v>1094</v>
      </c>
    </row>
  </sheetData>
  <conditionalFormatting sqref="A2:A86">
    <cfRule type="expression" dxfId="530" priority="272">
      <formula>B2="Fail"</formula>
    </cfRule>
    <cfRule type="expression" dxfId="529" priority="273">
      <formula>B2="Pending"</formula>
    </cfRule>
  </conditionalFormatting>
  <conditionalFormatting sqref="A2:A86">
    <cfRule type="expression" dxfId="528" priority="271">
      <formula>B2="Pass"</formula>
    </cfRule>
  </conditionalFormatting>
  <dataValidations count="1">
    <dataValidation type="list" allowBlank="1" showInputMessage="1" showErrorMessage="1" sqref="B2:B86" xr:uid="{00000000-0002-0000-0B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74" operator="containsText" id="{9BB926D7-B9F1-4D75-B840-212398D978BD}">
            <xm:f>NOT(ISERROR(SEARCH(#REF!,B2)))</xm:f>
            <xm:f>#REF!</xm:f>
            <x14:dxf>
              <font>
                <b val="0"/>
                <i val="0"/>
                <color theme="9" tint="-0.499984740745262"/>
              </font>
              <fill>
                <patternFill>
                  <bgColor theme="9" tint="0.59996337778862885"/>
                </patternFill>
              </fill>
            </x14:dxf>
          </x14:cfRule>
          <x14:cfRule type="containsText" priority="275" operator="containsText" id="{E5A4577F-0976-4D5E-BAEA-A6571030AAFB}">
            <xm:f>NOT(ISERROR(SEARCH(#REF!,B2)))</xm:f>
            <xm:f>#REF!</xm:f>
            <x14:dxf>
              <font>
                <b val="0"/>
                <i val="0"/>
                <color rgb="FFC00000"/>
              </font>
              <fill>
                <patternFill>
                  <bgColor rgb="FFFFCCCC"/>
                </patternFill>
              </fill>
            </x14:dxf>
          </x14:cfRule>
          <x14:cfRule type="containsText" priority="276" operator="containsText" id="{914AE18D-D252-4B0C-8375-A72262489138}">
            <xm:f>NOT(ISERROR(SEARCH(#REF!,B2)))</xm:f>
            <xm:f>#REF!</xm:f>
            <x14:dxf>
              <font>
                <b val="0"/>
                <i val="0"/>
                <color theme="7" tint="-0.499984740745262"/>
              </font>
              <fill>
                <patternFill>
                  <bgColor theme="7" tint="0.59996337778862885"/>
                </patternFill>
              </fill>
            </x14:dxf>
          </x14:cfRule>
          <xm:sqref>B2 B9 B20 B22 B25 B30:B31 B45 B55:B57 B52 B4 B6 B33:B35 B38 B43 B78 B80:B81 B83:B85</xm:sqref>
        </x14:conditionalFormatting>
        <x14:conditionalFormatting xmlns:xm="http://schemas.microsoft.com/office/excel/2006/main">
          <x14:cfRule type="containsText" priority="262" operator="containsText" id="{C0768DEA-0CCE-4C1D-8B81-2592E57A058E}">
            <xm:f>NOT(ISERROR(SEARCH(#REF!,B10)))</xm:f>
            <xm:f>#REF!</xm:f>
            <x14:dxf>
              <font>
                <b val="0"/>
                <i val="0"/>
                <color theme="9" tint="-0.499984740745262"/>
              </font>
              <fill>
                <patternFill>
                  <bgColor theme="9" tint="0.59996337778862885"/>
                </patternFill>
              </fill>
            </x14:dxf>
          </x14:cfRule>
          <x14:cfRule type="containsText" priority="263" operator="containsText" id="{F07483D6-2B9C-4885-B35E-FDE5AD50ED5D}">
            <xm:f>NOT(ISERROR(SEARCH(#REF!,B10)))</xm:f>
            <xm:f>#REF!</xm:f>
            <x14:dxf>
              <font>
                <b val="0"/>
                <i val="0"/>
                <color rgb="FFC00000"/>
              </font>
              <fill>
                <patternFill>
                  <bgColor rgb="FFFFCCCC"/>
                </patternFill>
              </fill>
            </x14:dxf>
          </x14:cfRule>
          <x14:cfRule type="containsText" priority="264" operator="containsText" id="{718AE1CE-A703-4AE4-8E10-A1E34E1E3E74}">
            <xm:f>NOT(ISERROR(SEARCH(#REF!,B10)))</xm:f>
            <xm:f>#REF!</xm:f>
            <x14:dxf>
              <font>
                <b val="0"/>
                <i val="0"/>
                <color theme="7" tint="-0.499984740745262"/>
              </font>
              <fill>
                <patternFill>
                  <bgColor theme="7" tint="0.59996337778862885"/>
                </patternFill>
              </fill>
            </x14:dxf>
          </x14:cfRule>
          <xm:sqref>B10</xm:sqref>
        </x14:conditionalFormatting>
        <x14:conditionalFormatting xmlns:xm="http://schemas.microsoft.com/office/excel/2006/main">
          <x14:cfRule type="containsText" priority="253" operator="containsText" id="{035F06D4-7494-4A89-816D-F32C6F38FDF6}">
            <xm:f>NOT(ISERROR(SEARCH(#REF!,B11)))</xm:f>
            <xm:f>#REF!</xm:f>
            <x14:dxf>
              <font>
                <b val="0"/>
                <i val="0"/>
                <color theme="9" tint="-0.499984740745262"/>
              </font>
              <fill>
                <patternFill>
                  <bgColor theme="9" tint="0.59996337778862885"/>
                </patternFill>
              </fill>
            </x14:dxf>
          </x14:cfRule>
          <x14:cfRule type="containsText" priority="254" operator="containsText" id="{B9F4A821-9B0A-41E8-9A36-35461E845BD9}">
            <xm:f>NOT(ISERROR(SEARCH(#REF!,B11)))</xm:f>
            <xm:f>#REF!</xm:f>
            <x14:dxf>
              <font>
                <b val="0"/>
                <i val="0"/>
                <color rgb="FFC00000"/>
              </font>
              <fill>
                <patternFill>
                  <bgColor rgb="FFFFCCCC"/>
                </patternFill>
              </fill>
            </x14:dxf>
          </x14:cfRule>
          <x14:cfRule type="containsText" priority="255" operator="containsText" id="{F4DBD0F7-BF15-4DC4-BC9A-D6716339EB59}">
            <xm:f>NOT(ISERROR(SEARCH(#REF!,B11)))</xm:f>
            <xm:f>#REF!</xm:f>
            <x14:dxf>
              <font>
                <b val="0"/>
                <i val="0"/>
                <color theme="7" tint="-0.499984740745262"/>
              </font>
              <fill>
                <patternFill>
                  <bgColor theme="7" tint="0.59996337778862885"/>
                </patternFill>
              </fill>
            </x14:dxf>
          </x14:cfRule>
          <xm:sqref>B11:B19</xm:sqref>
        </x14:conditionalFormatting>
        <x14:conditionalFormatting xmlns:xm="http://schemas.microsoft.com/office/excel/2006/main">
          <x14:cfRule type="containsText" priority="250" operator="containsText" id="{2AAE361F-5FC0-4DB9-9FEE-F245E8BA484D}">
            <xm:f>NOT(ISERROR(SEARCH(#REF!,B21)))</xm:f>
            <xm:f>#REF!</xm:f>
            <x14:dxf>
              <font>
                <b val="0"/>
                <i val="0"/>
                <color theme="9" tint="-0.499984740745262"/>
              </font>
              <fill>
                <patternFill>
                  <bgColor theme="9" tint="0.59996337778862885"/>
                </patternFill>
              </fill>
            </x14:dxf>
          </x14:cfRule>
          <x14:cfRule type="containsText" priority="251" operator="containsText" id="{7BDB3044-C14C-4D10-9120-E8F7D834AF0F}">
            <xm:f>NOT(ISERROR(SEARCH(#REF!,B21)))</xm:f>
            <xm:f>#REF!</xm:f>
            <x14:dxf>
              <font>
                <b val="0"/>
                <i val="0"/>
                <color rgb="FFC00000"/>
              </font>
              <fill>
                <patternFill>
                  <bgColor rgb="FFFFCCCC"/>
                </patternFill>
              </fill>
            </x14:dxf>
          </x14:cfRule>
          <x14:cfRule type="containsText" priority="252" operator="containsText" id="{1787C29C-69B0-4C88-B2D6-180F680F162E}">
            <xm:f>NOT(ISERROR(SEARCH(#REF!,B21)))</xm:f>
            <xm:f>#REF!</xm:f>
            <x14:dxf>
              <font>
                <b val="0"/>
                <i val="0"/>
                <color theme="7" tint="-0.499984740745262"/>
              </font>
              <fill>
                <patternFill>
                  <bgColor theme="7" tint="0.59996337778862885"/>
                </patternFill>
              </fill>
            </x14:dxf>
          </x14:cfRule>
          <xm:sqref>B21</xm:sqref>
        </x14:conditionalFormatting>
        <x14:conditionalFormatting xmlns:xm="http://schemas.microsoft.com/office/excel/2006/main">
          <x14:cfRule type="containsText" priority="247" operator="containsText" id="{848A0C83-8122-42B2-AA17-97013215461A}">
            <xm:f>NOT(ISERROR(SEARCH(#REF!,B23)))</xm:f>
            <xm:f>#REF!</xm:f>
            <x14:dxf>
              <font>
                <b val="0"/>
                <i val="0"/>
                <color theme="9" tint="-0.499984740745262"/>
              </font>
              <fill>
                <patternFill>
                  <bgColor theme="9" tint="0.59996337778862885"/>
                </patternFill>
              </fill>
            </x14:dxf>
          </x14:cfRule>
          <x14:cfRule type="containsText" priority="248" operator="containsText" id="{EC1C3C35-BA0A-4D88-8166-420061D7A404}">
            <xm:f>NOT(ISERROR(SEARCH(#REF!,B23)))</xm:f>
            <xm:f>#REF!</xm:f>
            <x14:dxf>
              <font>
                <b val="0"/>
                <i val="0"/>
                <color rgb="FFC00000"/>
              </font>
              <fill>
                <patternFill>
                  <bgColor rgb="FFFFCCCC"/>
                </patternFill>
              </fill>
            </x14:dxf>
          </x14:cfRule>
          <x14:cfRule type="containsText" priority="249" operator="containsText" id="{1DC675DA-2941-48E7-99C1-9A5989970D50}">
            <xm:f>NOT(ISERROR(SEARCH(#REF!,B23)))</xm:f>
            <xm:f>#REF!</xm:f>
            <x14:dxf>
              <font>
                <b val="0"/>
                <i val="0"/>
                <color theme="7" tint="-0.499984740745262"/>
              </font>
              <fill>
                <patternFill>
                  <bgColor theme="7" tint="0.59996337778862885"/>
                </patternFill>
              </fill>
            </x14:dxf>
          </x14:cfRule>
          <xm:sqref>B23:B24</xm:sqref>
        </x14:conditionalFormatting>
        <x14:conditionalFormatting xmlns:xm="http://schemas.microsoft.com/office/excel/2006/main">
          <x14:cfRule type="containsText" priority="244" operator="containsText" id="{A3AECD14-F5DC-4447-8185-0C0D81932115}">
            <xm:f>NOT(ISERROR(SEARCH(#REF!,B27)))</xm:f>
            <xm:f>#REF!</xm:f>
            <x14:dxf>
              <font>
                <b val="0"/>
                <i val="0"/>
                <color theme="9" tint="-0.499984740745262"/>
              </font>
              <fill>
                <patternFill>
                  <bgColor theme="9" tint="0.59996337778862885"/>
                </patternFill>
              </fill>
            </x14:dxf>
          </x14:cfRule>
          <x14:cfRule type="containsText" priority="245" operator="containsText" id="{E18BF7FA-2711-430A-A152-447F591E5D2A}">
            <xm:f>NOT(ISERROR(SEARCH(#REF!,B27)))</xm:f>
            <xm:f>#REF!</xm:f>
            <x14:dxf>
              <font>
                <b val="0"/>
                <i val="0"/>
                <color rgb="FFC00000"/>
              </font>
              <fill>
                <patternFill>
                  <bgColor rgb="FFFFCCCC"/>
                </patternFill>
              </fill>
            </x14:dxf>
          </x14:cfRule>
          <x14:cfRule type="containsText" priority="246" operator="containsText" id="{3E69F972-1961-476E-A84D-94DDAF512FDB}">
            <xm:f>NOT(ISERROR(SEARCH(#REF!,B27)))</xm:f>
            <xm:f>#REF!</xm:f>
            <x14:dxf>
              <font>
                <b val="0"/>
                <i val="0"/>
                <color theme="7" tint="-0.499984740745262"/>
              </font>
              <fill>
                <patternFill>
                  <bgColor theme="7" tint="0.59996337778862885"/>
                </patternFill>
              </fill>
            </x14:dxf>
          </x14:cfRule>
          <xm:sqref>B27</xm:sqref>
        </x14:conditionalFormatting>
        <x14:conditionalFormatting xmlns:xm="http://schemas.microsoft.com/office/excel/2006/main">
          <x14:cfRule type="containsText" priority="241" operator="containsText" id="{C2E9815B-B1C2-4DB4-9B8E-55166DD892DB}">
            <xm:f>NOT(ISERROR(SEARCH(#REF!,B26)))</xm:f>
            <xm:f>#REF!</xm:f>
            <x14:dxf>
              <font>
                <b val="0"/>
                <i val="0"/>
                <color theme="9" tint="-0.499984740745262"/>
              </font>
              <fill>
                <patternFill>
                  <bgColor theme="9" tint="0.59996337778862885"/>
                </patternFill>
              </fill>
            </x14:dxf>
          </x14:cfRule>
          <x14:cfRule type="containsText" priority="242" operator="containsText" id="{2B657DBA-06B6-4C1A-8732-BE460F0A5366}">
            <xm:f>NOT(ISERROR(SEARCH(#REF!,B26)))</xm:f>
            <xm:f>#REF!</xm:f>
            <x14:dxf>
              <font>
                <b val="0"/>
                <i val="0"/>
                <color rgb="FFC00000"/>
              </font>
              <fill>
                <patternFill>
                  <bgColor rgb="FFFFCCCC"/>
                </patternFill>
              </fill>
            </x14:dxf>
          </x14:cfRule>
          <x14:cfRule type="containsText" priority="243" operator="containsText" id="{11FF2A65-1B5F-4394-BF82-B2F8A9ED0D22}">
            <xm:f>NOT(ISERROR(SEARCH(#REF!,B26)))</xm:f>
            <xm:f>#REF!</xm:f>
            <x14:dxf>
              <font>
                <b val="0"/>
                <i val="0"/>
                <color theme="7" tint="-0.499984740745262"/>
              </font>
              <fill>
                <patternFill>
                  <bgColor theme="7" tint="0.59996337778862885"/>
                </patternFill>
              </fill>
            </x14:dxf>
          </x14:cfRule>
          <xm:sqref>B26</xm:sqref>
        </x14:conditionalFormatting>
        <x14:conditionalFormatting xmlns:xm="http://schemas.microsoft.com/office/excel/2006/main">
          <x14:cfRule type="containsText" priority="232" operator="containsText" id="{4C3EC20C-DC5E-4E87-A45B-D973CCA52911}">
            <xm:f>NOT(ISERROR(SEARCH(#REF!,B7)))</xm:f>
            <xm:f>#REF!</xm:f>
            <x14:dxf>
              <font>
                <b val="0"/>
                <i val="0"/>
                <color theme="9" tint="-0.499984740745262"/>
              </font>
              <fill>
                <patternFill>
                  <bgColor theme="9" tint="0.59996337778862885"/>
                </patternFill>
              </fill>
            </x14:dxf>
          </x14:cfRule>
          <x14:cfRule type="containsText" priority="233" operator="containsText" id="{FBA0381D-5A0D-48F8-AAF9-70C4DB11B0FF}">
            <xm:f>NOT(ISERROR(SEARCH(#REF!,B7)))</xm:f>
            <xm:f>#REF!</xm:f>
            <x14:dxf>
              <font>
                <b val="0"/>
                <i val="0"/>
                <color rgb="FFC00000"/>
              </font>
              <fill>
                <patternFill>
                  <bgColor rgb="FFFFCCCC"/>
                </patternFill>
              </fill>
            </x14:dxf>
          </x14:cfRule>
          <x14:cfRule type="containsText" priority="234" operator="containsText" id="{A3521150-1A40-410F-BF00-694707BF8630}">
            <xm:f>NOT(ISERROR(SEARCH(#REF!,B7)))</xm:f>
            <xm:f>#REF!</xm:f>
            <x14:dxf>
              <font>
                <b val="0"/>
                <i val="0"/>
                <color theme="7" tint="-0.499984740745262"/>
              </font>
              <fill>
                <patternFill>
                  <bgColor theme="7" tint="0.59996337778862885"/>
                </patternFill>
              </fill>
            </x14:dxf>
          </x14:cfRule>
          <xm:sqref>B7</xm:sqref>
        </x14:conditionalFormatting>
        <x14:conditionalFormatting xmlns:xm="http://schemas.microsoft.com/office/excel/2006/main">
          <x14:cfRule type="containsText" priority="229" operator="containsText" id="{789B4654-5951-4E60-8F6E-489712BC04C3}">
            <xm:f>NOT(ISERROR(SEARCH(#REF!,B8)))</xm:f>
            <xm:f>#REF!</xm:f>
            <x14:dxf>
              <font>
                <b val="0"/>
                <i val="0"/>
                <color theme="9" tint="-0.499984740745262"/>
              </font>
              <fill>
                <patternFill>
                  <bgColor theme="9" tint="0.59996337778862885"/>
                </patternFill>
              </fill>
            </x14:dxf>
          </x14:cfRule>
          <x14:cfRule type="containsText" priority="230" operator="containsText" id="{5D2F01E5-3C3D-4EF0-AF45-8AF4C7CFF595}">
            <xm:f>NOT(ISERROR(SEARCH(#REF!,B8)))</xm:f>
            <xm:f>#REF!</xm:f>
            <x14:dxf>
              <font>
                <b val="0"/>
                <i val="0"/>
                <color rgb="FFC00000"/>
              </font>
              <fill>
                <patternFill>
                  <bgColor rgb="FFFFCCCC"/>
                </patternFill>
              </fill>
            </x14:dxf>
          </x14:cfRule>
          <x14:cfRule type="containsText" priority="231" operator="containsText" id="{B95671B7-A82C-4350-B32F-B6FCA8F474A5}">
            <xm:f>NOT(ISERROR(SEARCH(#REF!,B8)))</xm:f>
            <xm:f>#REF!</xm:f>
            <x14:dxf>
              <font>
                <b val="0"/>
                <i val="0"/>
                <color theme="7" tint="-0.499984740745262"/>
              </font>
              <fill>
                <patternFill>
                  <bgColor theme="7" tint="0.59996337778862885"/>
                </patternFill>
              </fill>
            </x14:dxf>
          </x14:cfRule>
          <xm:sqref>B8</xm:sqref>
        </x14:conditionalFormatting>
        <x14:conditionalFormatting xmlns:xm="http://schemas.microsoft.com/office/excel/2006/main">
          <x14:cfRule type="containsText" priority="226" operator="containsText" id="{B2609943-7F60-4C10-9116-984223CA77E4}">
            <xm:f>NOT(ISERROR(SEARCH(#REF!,B29)))</xm:f>
            <xm:f>#REF!</xm:f>
            <x14:dxf>
              <font>
                <b val="0"/>
                <i val="0"/>
                <color theme="9" tint="-0.499984740745262"/>
              </font>
              <fill>
                <patternFill>
                  <bgColor theme="9" tint="0.59996337778862885"/>
                </patternFill>
              </fill>
            </x14:dxf>
          </x14:cfRule>
          <x14:cfRule type="containsText" priority="227" operator="containsText" id="{8B25164A-5B3C-4429-A35D-93412B2F1AA7}">
            <xm:f>NOT(ISERROR(SEARCH(#REF!,B29)))</xm:f>
            <xm:f>#REF!</xm:f>
            <x14:dxf>
              <font>
                <b val="0"/>
                <i val="0"/>
                <color rgb="FFC00000"/>
              </font>
              <fill>
                <patternFill>
                  <bgColor rgb="FFFFCCCC"/>
                </patternFill>
              </fill>
            </x14:dxf>
          </x14:cfRule>
          <x14:cfRule type="containsText" priority="228" operator="containsText" id="{DD626821-AE70-4508-8C27-E699056624CA}">
            <xm:f>NOT(ISERROR(SEARCH(#REF!,B29)))</xm:f>
            <xm:f>#REF!</xm:f>
            <x14:dxf>
              <font>
                <b val="0"/>
                <i val="0"/>
                <color theme="7" tint="-0.499984740745262"/>
              </font>
              <fill>
                <patternFill>
                  <bgColor theme="7" tint="0.59996337778862885"/>
                </patternFill>
              </fill>
            </x14:dxf>
          </x14:cfRule>
          <xm:sqref>B29</xm:sqref>
        </x14:conditionalFormatting>
        <x14:conditionalFormatting xmlns:xm="http://schemas.microsoft.com/office/excel/2006/main">
          <x14:cfRule type="containsText" priority="223" operator="containsText" id="{8730CB5D-69B3-43EC-AF91-52FAC7E8A697}">
            <xm:f>NOT(ISERROR(SEARCH(#REF!,B28)))</xm:f>
            <xm:f>#REF!</xm:f>
            <x14:dxf>
              <font>
                <b val="0"/>
                <i val="0"/>
                <color theme="9" tint="-0.499984740745262"/>
              </font>
              <fill>
                <patternFill>
                  <bgColor theme="9" tint="0.59996337778862885"/>
                </patternFill>
              </fill>
            </x14:dxf>
          </x14:cfRule>
          <x14:cfRule type="containsText" priority="224" operator="containsText" id="{BB6B6FFC-972B-48A0-8C93-CE8482F99C68}">
            <xm:f>NOT(ISERROR(SEARCH(#REF!,B28)))</xm:f>
            <xm:f>#REF!</xm:f>
            <x14:dxf>
              <font>
                <b val="0"/>
                <i val="0"/>
                <color rgb="FFC00000"/>
              </font>
              <fill>
                <patternFill>
                  <bgColor rgb="FFFFCCCC"/>
                </patternFill>
              </fill>
            </x14:dxf>
          </x14:cfRule>
          <x14:cfRule type="containsText" priority="225" operator="containsText" id="{A07F572B-57CD-4925-95F6-F8E9FA246584}">
            <xm:f>NOT(ISERROR(SEARCH(#REF!,B28)))</xm:f>
            <xm:f>#REF!</xm:f>
            <x14:dxf>
              <font>
                <b val="0"/>
                <i val="0"/>
                <color theme="7" tint="-0.499984740745262"/>
              </font>
              <fill>
                <patternFill>
                  <bgColor theme="7" tint="0.59996337778862885"/>
                </patternFill>
              </fill>
            </x14:dxf>
          </x14:cfRule>
          <xm:sqref>B28</xm:sqref>
        </x14:conditionalFormatting>
        <x14:conditionalFormatting xmlns:xm="http://schemas.microsoft.com/office/excel/2006/main">
          <x14:cfRule type="containsText" priority="220" operator="containsText" id="{7C35A4E3-18FA-4F9C-BD1D-F4B858BA4ECC}">
            <xm:f>NOT(ISERROR(SEARCH(#REF!,B44)))</xm:f>
            <xm:f>#REF!</xm:f>
            <x14:dxf>
              <font>
                <b val="0"/>
                <i val="0"/>
                <color theme="9" tint="-0.499984740745262"/>
              </font>
              <fill>
                <patternFill>
                  <bgColor theme="9" tint="0.59996337778862885"/>
                </patternFill>
              </fill>
            </x14:dxf>
          </x14:cfRule>
          <x14:cfRule type="containsText" priority="221" operator="containsText" id="{EE239F2E-C99D-48AD-84DB-C750D38EEC29}">
            <xm:f>NOT(ISERROR(SEARCH(#REF!,B44)))</xm:f>
            <xm:f>#REF!</xm:f>
            <x14:dxf>
              <font>
                <b val="0"/>
                <i val="0"/>
                <color rgb="FFC00000"/>
              </font>
              <fill>
                <patternFill>
                  <bgColor rgb="FFFFCCCC"/>
                </patternFill>
              </fill>
            </x14:dxf>
          </x14:cfRule>
          <x14:cfRule type="containsText" priority="222" operator="containsText" id="{7608E0A7-26E3-4C45-9267-D5F141F24A48}">
            <xm:f>NOT(ISERROR(SEARCH(#REF!,B44)))</xm:f>
            <xm:f>#REF!</xm:f>
            <x14:dxf>
              <font>
                <b val="0"/>
                <i val="0"/>
                <color theme="7" tint="-0.499984740745262"/>
              </font>
              <fill>
                <patternFill>
                  <bgColor theme="7" tint="0.59996337778862885"/>
                </patternFill>
              </fill>
            </x14:dxf>
          </x14:cfRule>
          <xm:sqref>B44</xm:sqref>
        </x14:conditionalFormatting>
        <x14:conditionalFormatting xmlns:xm="http://schemas.microsoft.com/office/excel/2006/main">
          <x14:cfRule type="containsText" priority="217" operator="containsText" id="{0DCE23B1-0A8A-41B0-BB81-F2DD330B5B83}">
            <xm:f>NOT(ISERROR(SEARCH(#REF!,B46)))</xm:f>
            <xm:f>#REF!</xm:f>
            <x14:dxf>
              <font>
                <b val="0"/>
                <i val="0"/>
                <color theme="9" tint="-0.499984740745262"/>
              </font>
              <fill>
                <patternFill>
                  <bgColor theme="9" tint="0.59996337778862885"/>
                </patternFill>
              </fill>
            </x14:dxf>
          </x14:cfRule>
          <x14:cfRule type="containsText" priority="218" operator="containsText" id="{08D3C421-CCC5-4491-849D-48B49EC6B8C7}">
            <xm:f>NOT(ISERROR(SEARCH(#REF!,B46)))</xm:f>
            <xm:f>#REF!</xm:f>
            <x14:dxf>
              <font>
                <b val="0"/>
                <i val="0"/>
                <color rgb="FFC00000"/>
              </font>
              <fill>
                <patternFill>
                  <bgColor rgb="FFFFCCCC"/>
                </patternFill>
              </fill>
            </x14:dxf>
          </x14:cfRule>
          <x14:cfRule type="containsText" priority="219" operator="containsText" id="{EEB0ECB1-992C-4DAA-85AF-F2C12020281F}">
            <xm:f>NOT(ISERROR(SEARCH(#REF!,B46)))</xm:f>
            <xm:f>#REF!</xm:f>
            <x14:dxf>
              <font>
                <b val="0"/>
                <i val="0"/>
                <color theme="7" tint="-0.499984740745262"/>
              </font>
              <fill>
                <patternFill>
                  <bgColor theme="7" tint="0.59996337778862885"/>
                </patternFill>
              </fill>
            </x14:dxf>
          </x14:cfRule>
          <xm:sqref>B46</xm:sqref>
        </x14:conditionalFormatting>
        <x14:conditionalFormatting xmlns:xm="http://schemas.microsoft.com/office/excel/2006/main">
          <x14:cfRule type="containsText" priority="214" operator="containsText" id="{C4FEB4DA-E16A-4318-92F0-A5FCC9B48F0B}">
            <xm:f>NOT(ISERROR(SEARCH(#REF!,B54)))</xm:f>
            <xm:f>#REF!</xm:f>
            <x14:dxf>
              <font>
                <b val="0"/>
                <i val="0"/>
                <color theme="9" tint="-0.499984740745262"/>
              </font>
              <fill>
                <patternFill>
                  <bgColor theme="9" tint="0.59996337778862885"/>
                </patternFill>
              </fill>
            </x14:dxf>
          </x14:cfRule>
          <x14:cfRule type="containsText" priority="215" operator="containsText" id="{57B491B3-455D-4EF2-B03F-77AF265BB82E}">
            <xm:f>NOT(ISERROR(SEARCH(#REF!,B54)))</xm:f>
            <xm:f>#REF!</xm:f>
            <x14:dxf>
              <font>
                <b val="0"/>
                <i val="0"/>
                <color rgb="FFC00000"/>
              </font>
              <fill>
                <patternFill>
                  <bgColor rgb="FFFFCCCC"/>
                </patternFill>
              </fill>
            </x14:dxf>
          </x14:cfRule>
          <x14:cfRule type="containsText" priority="216" operator="containsText" id="{2B6394C2-6BFA-4A0A-8A76-6648079152F1}">
            <xm:f>NOT(ISERROR(SEARCH(#REF!,B54)))</xm:f>
            <xm:f>#REF!</xm:f>
            <x14:dxf>
              <font>
                <b val="0"/>
                <i val="0"/>
                <color theme="7" tint="-0.499984740745262"/>
              </font>
              <fill>
                <patternFill>
                  <bgColor theme="7" tint="0.59996337778862885"/>
                </patternFill>
              </fill>
            </x14:dxf>
          </x14:cfRule>
          <xm:sqref>B54</xm:sqref>
        </x14:conditionalFormatting>
        <x14:conditionalFormatting xmlns:xm="http://schemas.microsoft.com/office/excel/2006/main">
          <x14:cfRule type="containsText" priority="193" operator="containsText" id="{CE06DDC3-E73F-44A0-9B6D-5DFCAEA81550}">
            <xm:f>NOT(ISERROR(SEARCH(#REF!,B58)))</xm:f>
            <xm:f>#REF!</xm:f>
            <x14:dxf>
              <font>
                <b val="0"/>
                <i val="0"/>
                <color theme="9" tint="-0.499984740745262"/>
              </font>
              <fill>
                <patternFill>
                  <bgColor theme="9" tint="0.59996337778862885"/>
                </patternFill>
              </fill>
            </x14:dxf>
          </x14:cfRule>
          <x14:cfRule type="containsText" priority="194" operator="containsText" id="{021711CF-471D-41A3-AF0C-1720E424A7EC}">
            <xm:f>NOT(ISERROR(SEARCH(#REF!,B58)))</xm:f>
            <xm:f>#REF!</xm:f>
            <x14:dxf>
              <font>
                <b val="0"/>
                <i val="0"/>
                <color rgb="FFC00000"/>
              </font>
              <fill>
                <patternFill>
                  <bgColor rgb="FFFFCCCC"/>
                </patternFill>
              </fill>
            </x14:dxf>
          </x14:cfRule>
          <x14:cfRule type="containsText" priority="195" operator="containsText" id="{EBCBFA76-060B-4B69-B8A9-5AC60EF23752}">
            <xm:f>NOT(ISERROR(SEARCH(#REF!,B58)))</xm:f>
            <xm:f>#REF!</xm:f>
            <x14:dxf>
              <font>
                <b val="0"/>
                <i val="0"/>
                <color theme="7" tint="-0.499984740745262"/>
              </font>
              <fill>
                <patternFill>
                  <bgColor theme="7" tint="0.59996337778862885"/>
                </patternFill>
              </fill>
            </x14:dxf>
          </x14:cfRule>
          <xm:sqref>B58</xm:sqref>
        </x14:conditionalFormatting>
        <x14:conditionalFormatting xmlns:xm="http://schemas.microsoft.com/office/excel/2006/main">
          <x14:cfRule type="containsText" priority="181" operator="containsText" id="{260194B9-2452-4EFA-A75D-8E819C09B38F}">
            <xm:f>NOT(ISERROR(SEARCH(#REF!,B60)))</xm:f>
            <xm:f>#REF!</xm:f>
            <x14:dxf>
              <font>
                <b val="0"/>
                <i val="0"/>
                <color theme="9" tint="-0.499984740745262"/>
              </font>
              <fill>
                <patternFill>
                  <bgColor theme="9" tint="0.59996337778862885"/>
                </patternFill>
              </fill>
            </x14:dxf>
          </x14:cfRule>
          <x14:cfRule type="containsText" priority="182" operator="containsText" id="{047DDA55-3857-4C96-AF25-B1694341A9CC}">
            <xm:f>NOT(ISERROR(SEARCH(#REF!,B60)))</xm:f>
            <xm:f>#REF!</xm:f>
            <x14:dxf>
              <font>
                <b val="0"/>
                <i val="0"/>
                <color rgb="FFC00000"/>
              </font>
              <fill>
                <patternFill>
                  <bgColor rgb="FFFFCCCC"/>
                </patternFill>
              </fill>
            </x14:dxf>
          </x14:cfRule>
          <x14:cfRule type="containsText" priority="183" operator="containsText" id="{19587322-02A8-427D-AF00-DDD4D6C6D443}">
            <xm:f>NOT(ISERROR(SEARCH(#REF!,B60)))</xm:f>
            <xm:f>#REF!</xm:f>
            <x14:dxf>
              <font>
                <b val="0"/>
                <i val="0"/>
                <color theme="7" tint="-0.499984740745262"/>
              </font>
              <fill>
                <patternFill>
                  <bgColor theme="7" tint="0.59996337778862885"/>
                </patternFill>
              </fill>
            </x14:dxf>
          </x14:cfRule>
          <xm:sqref>B60</xm:sqref>
        </x14:conditionalFormatting>
        <x14:conditionalFormatting xmlns:xm="http://schemas.microsoft.com/office/excel/2006/main">
          <x14:cfRule type="containsText" priority="178" operator="containsText" id="{20C65C84-10F8-48D7-B119-D71FF3D47D51}">
            <xm:f>NOT(ISERROR(SEARCH(#REF!,B60)))</xm:f>
            <xm:f>#REF!</xm:f>
            <x14:dxf>
              <font>
                <b val="0"/>
                <i val="0"/>
                <color theme="9" tint="-0.499984740745262"/>
              </font>
              <fill>
                <patternFill>
                  <bgColor theme="9" tint="0.59996337778862885"/>
                </patternFill>
              </fill>
            </x14:dxf>
          </x14:cfRule>
          <x14:cfRule type="containsText" priority="179" operator="containsText" id="{0633F81B-DA3B-476E-8931-A0B4C5291B56}">
            <xm:f>NOT(ISERROR(SEARCH(#REF!,B60)))</xm:f>
            <xm:f>#REF!</xm:f>
            <x14:dxf>
              <font>
                <b val="0"/>
                <i val="0"/>
                <color rgb="FFC00000"/>
              </font>
              <fill>
                <patternFill>
                  <bgColor rgb="FFFFCCCC"/>
                </patternFill>
              </fill>
            </x14:dxf>
          </x14:cfRule>
          <x14:cfRule type="containsText" priority="180" operator="containsText" id="{F212B066-2FF5-4E70-87E4-B3BCB6D1BCD4}">
            <xm:f>NOT(ISERROR(SEARCH(#REF!,B60)))</xm:f>
            <xm:f>#REF!</xm:f>
            <x14:dxf>
              <font>
                <b val="0"/>
                <i val="0"/>
                <color theme="7" tint="-0.499984740745262"/>
              </font>
              <fill>
                <patternFill>
                  <bgColor theme="7" tint="0.59996337778862885"/>
                </patternFill>
              </fill>
            </x14:dxf>
          </x14:cfRule>
          <xm:sqref>B60</xm:sqref>
        </x14:conditionalFormatting>
        <x14:conditionalFormatting xmlns:xm="http://schemas.microsoft.com/office/excel/2006/main">
          <x14:cfRule type="containsText" priority="139" operator="containsText" id="{E71D2A1B-58BC-438E-BD02-8A1DDA9F60BD}">
            <xm:f>NOT(ISERROR(SEARCH(#REF!,B66)))</xm:f>
            <xm:f>#REF!</xm:f>
            <x14:dxf>
              <font>
                <b val="0"/>
                <i val="0"/>
                <color theme="9" tint="-0.499984740745262"/>
              </font>
              <fill>
                <patternFill>
                  <bgColor theme="9" tint="0.59996337778862885"/>
                </patternFill>
              </fill>
            </x14:dxf>
          </x14:cfRule>
          <x14:cfRule type="containsText" priority="140" operator="containsText" id="{89E5A086-EDBC-4D6E-9B16-C68FF2FAB24D}">
            <xm:f>NOT(ISERROR(SEARCH(#REF!,B66)))</xm:f>
            <xm:f>#REF!</xm:f>
            <x14:dxf>
              <font>
                <b val="0"/>
                <i val="0"/>
                <color rgb="FFC00000"/>
              </font>
              <fill>
                <patternFill>
                  <bgColor rgb="FFFFCCCC"/>
                </patternFill>
              </fill>
            </x14:dxf>
          </x14:cfRule>
          <x14:cfRule type="containsText" priority="141" operator="containsText" id="{36547D2E-B15F-4AB7-BB12-01E07664EB87}">
            <xm:f>NOT(ISERROR(SEARCH(#REF!,B66)))</xm:f>
            <xm:f>#REF!</xm:f>
            <x14:dxf>
              <font>
                <b val="0"/>
                <i val="0"/>
                <color theme="7" tint="-0.499984740745262"/>
              </font>
              <fill>
                <patternFill>
                  <bgColor theme="7" tint="0.59996337778862885"/>
                </patternFill>
              </fill>
            </x14:dxf>
          </x14:cfRule>
          <xm:sqref>B66</xm:sqref>
        </x14:conditionalFormatting>
        <x14:conditionalFormatting xmlns:xm="http://schemas.microsoft.com/office/excel/2006/main">
          <x14:cfRule type="containsText" priority="136" operator="containsText" id="{22B384BC-02CB-42C3-8EED-F58E65595D5A}">
            <xm:f>NOT(ISERROR(SEARCH(#REF!,B66)))</xm:f>
            <xm:f>#REF!</xm:f>
            <x14:dxf>
              <font>
                <b val="0"/>
                <i val="0"/>
                <color theme="9" tint="-0.499984740745262"/>
              </font>
              <fill>
                <patternFill>
                  <bgColor theme="9" tint="0.59996337778862885"/>
                </patternFill>
              </fill>
            </x14:dxf>
          </x14:cfRule>
          <x14:cfRule type="containsText" priority="137" operator="containsText" id="{D4D4E223-FE04-4BF3-AEDD-5198210D98F1}">
            <xm:f>NOT(ISERROR(SEARCH(#REF!,B66)))</xm:f>
            <xm:f>#REF!</xm:f>
            <x14:dxf>
              <font>
                <b val="0"/>
                <i val="0"/>
                <color rgb="FFC00000"/>
              </font>
              <fill>
                <patternFill>
                  <bgColor rgb="FFFFCCCC"/>
                </patternFill>
              </fill>
            </x14:dxf>
          </x14:cfRule>
          <x14:cfRule type="containsText" priority="138" operator="containsText" id="{E231E441-899A-42DE-9FBC-3C95F4AD24B8}">
            <xm:f>NOT(ISERROR(SEARCH(#REF!,B66)))</xm:f>
            <xm:f>#REF!</xm:f>
            <x14:dxf>
              <font>
                <b val="0"/>
                <i val="0"/>
                <color theme="7" tint="-0.499984740745262"/>
              </font>
              <fill>
                <patternFill>
                  <bgColor theme="7" tint="0.59996337778862885"/>
                </patternFill>
              </fill>
            </x14:dxf>
          </x14:cfRule>
          <xm:sqref>B66</xm:sqref>
        </x14:conditionalFormatting>
        <x14:conditionalFormatting xmlns:xm="http://schemas.microsoft.com/office/excel/2006/main">
          <x14:cfRule type="containsText" priority="127" operator="containsText" id="{B7E93911-6912-479B-A785-FD553D42339B}">
            <xm:f>NOT(ISERROR(SEARCH(#REF!,B68)))</xm:f>
            <xm:f>#REF!</xm:f>
            <x14:dxf>
              <font>
                <b val="0"/>
                <i val="0"/>
                <color theme="9" tint="-0.499984740745262"/>
              </font>
              <fill>
                <patternFill>
                  <bgColor theme="9" tint="0.59996337778862885"/>
                </patternFill>
              </fill>
            </x14:dxf>
          </x14:cfRule>
          <x14:cfRule type="containsText" priority="128" operator="containsText" id="{8A171364-E18F-4AD4-B7F4-B5B9C82A6EF5}">
            <xm:f>NOT(ISERROR(SEARCH(#REF!,B68)))</xm:f>
            <xm:f>#REF!</xm:f>
            <x14:dxf>
              <font>
                <b val="0"/>
                <i val="0"/>
                <color rgb="FFC00000"/>
              </font>
              <fill>
                <patternFill>
                  <bgColor rgb="FFFFCCCC"/>
                </patternFill>
              </fill>
            </x14:dxf>
          </x14:cfRule>
          <x14:cfRule type="containsText" priority="129" operator="containsText" id="{6FCF8A6E-3064-4A7B-B10A-4326720F84A8}">
            <xm:f>NOT(ISERROR(SEARCH(#REF!,B68)))</xm:f>
            <xm:f>#REF!</xm:f>
            <x14:dxf>
              <font>
                <b val="0"/>
                <i val="0"/>
                <color theme="7" tint="-0.499984740745262"/>
              </font>
              <fill>
                <patternFill>
                  <bgColor theme="7" tint="0.59996337778862885"/>
                </patternFill>
              </fill>
            </x14:dxf>
          </x14:cfRule>
          <xm:sqref>B68</xm:sqref>
        </x14:conditionalFormatting>
        <x14:conditionalFormatting xmlns:xm="http://schemas.microsoft.com/office/excel/2006/main">
          <x14:cfRule type="containsText" priority="106" operator="containsText" id="{69C306D9-2A3F-4FA2-9B1A-4A665A4BA5D8}">
            <xm:f>NOT(ISERROR(SEARCH(#REF!,B75)))</xm:f>
            <xm:f>#REF!</xm:f>
            <x14:dxf>
              <font>
                <b val="0"/>
                <i val="0"/>
                <color theme="9" tint="-0.499984740745262"/>
              </font>
              <fill>
                <patternFill>
                  <bgColor theme="9" tint="0.59996337778862885"/>
                </patternFill>
              </fill>
            </x14:dxf>
          </x14:cfRule>
          <x14:cfRule type="containsText" priority="107" operator="containsText" id="{AB0F2891-9FFF-49CF-BEDC-51620BDF2BF8}">
            <xm:f>NOT(ISERROR(SEARCH(#REF!,B75)))</xm:f>
            <xm:f>#REF!</xm:f>
            <x14:dxf>
              <font>
                <b val="0"/>
                <i val="0"/>
                <color rgb="FFC00000"/>
              </font>
              <fill>
                <patternFill>
                  <bgColor rgb="FFFFCCCC"/>
                </patternFill>
              </fill>
            </x14:dxf>
          </x14:cfRule>
          <x14:cfRule type="containsText" priority="108" operator="containsText" id="{0F1560DF-12D6-40C8-AD07-5E0455BBD83D}">
            <xm:f>NOT(ISERROR(SEARCH(#REF!,B75)))</xm:f>
            <xm:f>#REF!</xm:f>
            <x14:dxf>
              <font>
                <b val="0"/>
                <i val="0"/>
                <color theme="7" tint="-0.499984740745262"/>
              </font>
              <fill>
                <patternFill>
                  <bgColor theme="7" tint="0.59996337778862885"/>
                </patternFill>
              </fill>
            </x14:dxf>
          </x14:cfRule>
          <xm:sqref>B75</xm:sqref>
        </x14:conditionalFormatting>
        <x14:conditionalFormatting xmlns:xm="http://schemas.microsoft.com/office/excel/2006/main">
          <x14:cfRule type="containsText" priority="103" operator="containsText" id="{64EB886B-0764-4BAA-884A-B0145BE9CA37}">
            <xm:f>NOT(ISERROR(SEARCH(#REF!,B75)))</xm:f>
            <xm:f>#REF!</xm:f>
            <x14:dxf>
              <font>
                <b val="0"/>
                <i val="0"/>
                <color theme="9" tint="-0.499984740745262"/>
              </font>
              <fill>
                <patternFill>
                  <bgColor theme="9" tint="0.59996337778862885"/>
                </patternFill>
              </fill>
            </x14:dxf>
          </x14:cfRule>
          <x14:cfRule type="containsText" priority="104" operator="containsText" id="{867A4BDA-BF62-4AF3-97C5-1FA16BE3ACE6}">
            <xm:f>NOT(ISERROR(SEARCH(#REF!,B75)))</xm:f>
            <xm:f>#REF!</xm:f>
            <x14:dxf>
              <font>
                <b val="0"/>
                <i val="0"/>
                <color rgb="FFC00000"/>
              </font>
              <fill>
                <patternFill>
                  <bgColor rgb="FFFFCCCC"/>
                </patternFill>
              </fill>
            </x14:dxf>
          </x14:cfRule>
          <x14:cfRule type="containsText" priority="105" operator="containsText" id="{276B87E2-E9A5-49F8-BA25-AAD15704F76B}">
            <xm:f>NOT(ISERROR(SEARCH(#REF!,B75)))</xm:f>
            <xm:f>#REF!</xm:f>
            <x14:dxf>
              <font>
                <b val="0"/>
                <i val="0"/>
                <color theme="7" tint="-0.499984740745262"/>
              </font>
              <fill>
                <patternFill>
                  <bgColor theme="7" tint="0.59996337778862885"/>
                </patternFill>
              </fill>
            </x14:dxf>
          </x14:cfRule>
          <xm:sqref>B75</xm:sqref>
        </x14:conditionalFormatting>
        <x14:conditionalFormatting xmlns:xm="http://schemas.microsoft.com/office/excel/2006/main">
          <x14:cfRule type="containsText" priority="100" operator="containsText" id="{F10E13A6-6A09-4679-BF2F-35DA097365E7}">
            <xm:f>NOT(ISERROR(SEARCH(#REF!,B76)))</xm:f>
            <xm:f>#REF!</xm:f>
            <x14:dxf>
              <font>
                <b val="0"/>
                <i val="0"/>
                <color theme="9" tint="-0.499984740745262"/>
              </font>
              <fill>
                <patternFill>
                  <bgColor theme="9" tint="0.59996337778862885"/>
                </patternFill>
              </fill>
            </x14:dxf>
          </x14:cfRule>
          <x14:cfRule type="containsText" priority="101" operator="containsText" id="{F6463B87-7B62-495F-97AD-14AC144BE1AF}">
            <xm:f>NOT(ISERROR(SEARCH(#REF!,B76)))</xm:f>
            <xm:f>#REF!</xm:f>
            <x14:dxf>
              <font>
                <b val="0"/>
                <i val="0"/>
                <color rgb="FFC00000"/>
              </font>
              <fill>
                <patternFill>
                  <bgColor rgb="FFFFCCCC"/>
                </patternFill>
              </fill>
            </x14:dxf>
          </x14:cfRule>
          <x14:cfRule type="containsText" priority="102" operator="containsText" id="{4FE76E6E-92B1-47C7-8FA4-45DDF1377C0B}">
            <xm:f>NOT(ISERROR(SEARCH(#REF!,B76)))</xm:f>
            <xm:f>#REF!</xm:f>
            <x14:dxf>
              <font>
                <b val="0"/>
                <i val="0"/>
                <color theme="7" tint="-0.499984740745262"/>
              </font>
              <fill>
                <patternFill>
                  <bgColor theme="7" tint="0.59996337778862885"/>
                </patternFill>
              </fill>
            </x14:dxf>
          </x14:cfRule>
          <xm:sqref>B76</xm:sqref>
        </x14:conditionalFormatting>
        <x14:conditionalFormatting xmlns:xm="http://schemas.microsoft.com/office/excel/2006/main">
          <x14:cfRule type="containsText" priority="97" operator="containsText" id="{F5E5EAA0-01AC-40AF-9B00-2C6C68769AB6}">
            <xm:f>NOT(ISERROR(SEARCH(#REF!,B76)))</xm:f>
            <xm:f>#REF!</xm:f>
            <x14:dxf>
              <font>
                <b val="0"/>
                <i val="0"/>
                <color theme="9" tint="-0.499984740745262"/>
              </font>
              <fill>
                <patternFill>
                  <bgColor theme="9" tint="0.59996337778862885"/>
                </patternFill>
              </fill>
            </x14:dxf>
          </x14:cfRule>
          <x14:cfRule type="containsText" priority="98" operator="containsText" id="{624A70D1-A39B-4B2C-825B-CF7B2454BE08}">
            <xm:f>NOT(ISERROR(SEARCH(#REF!,B76)))</xm:f>
            <xm:f>#REF!</xm:f>
            <x14:dxf>
              <font>
                <b val="0"/>
                <i val="0"/>
                <color rgb="FFC00000"/>
              </font>
              <fill>
                <patternFill>
                  <bgColor rgb="FFFFCCCC"/>
                </patternFill>
              </fill>
            </x14:dxf>
          </x14:cfRule>
          <x14:cfRule type="containsText" priority="99" operator="containsText" id="{DF5E86F0-0FE9-439F-BFD4-F7BC1F5289F9}">
            <xm:f>NOT(ISERROR(SEARCH(#REF!,B76)))</xm:f>
            <xm:f>#REF!</xm:f>
            <x14:dxf>
              <font>
                <b val="0"/>
                <i val="0"/>
                <color theme="7" tint="-0.499984740745262"/>
              </font>
              <fill>
                <patternFill>
                  <bgColor theme="7" tint="0.59996337778862885"/>
                </patternFill>
              </fill>
            </x14:dxf>
          </x14:cfRule>
          <xm:sqref>B76</xm:sqref>
        </x14:conditionalFormatting>
        <x14:conditionalFormatting xmlns:xm="http://schemas.microsoft.com/office/excel/2006/main">
          <x14:cfRule type="containsText" priority="94" operator="containsText" id="{89318D98-BCC4-4E45-B6CC-18F1BC42E5C6}">
            <xm:f>NOT(ISERROR(SEARCH(#REF!,B77)))</xm:f>
            <xm:f>#REF!</xm:f>
            <x14:dxf>
              <font>
                <b val="0"/>
                <i val="0"/>
                <color theme="9" tint="-0.499984740745262"/>
              </font>
              <fill>
                <patternFill>
                  <bgColor theme="9" tint="0.59996337778862885"/>
                </patternFill>
              </fill>
            </x14:dxf>
          </x14:cfRule>
          <x14:cfRule type="containsText" priority="95" operator="containsText" id="{73362438-D3BF-4BBC-A9FD-0E8B70CEB804}">
            <xm:f>NOT(ISERROR(SEARCH(#REF!,B77)))</xm:f>
            <xm:f>#REF!</xm:f>
            <x14:dxf>
              <font>
                <b val="0"/>
                <i val="0"/>
                <color rgb="FFC00000"/>
              </font>
              <fill>
                <patternFill>
                  <bgColor rgb="FFFFCCCC"/>
                </patternFill>
              </fill>
            </x14:dxf>
          </x14:cfRule>
          <x14:cfRule type="containsText" priority="96" operator="containsText" id="{757426BD-5A76-487C-9D9B-17DAB66FC0CF}">
            <xm:f>NOT(ISERROR(SEARCH(#REF!,B77)))</xm:f>
            <xm:f>#REF!</xm:f>
            <x14:dxf>
              <font>
                <b val="0"/>
                <i val="0"/>
                <color theme="7" tint="-0.499984740745262"/>
              </font>
              <fill>
                <patternFill>
                  <bgColor theme="7" tint="0.59996337778862885"/>
                </patternFill>
              </fill>
            </x14:dxf>
          </x14:cfRule>
          <xm:sqref>B77</xm:sqref>
        </x14:conditionalFormatting>
        <x14:conditionalFormatting xmlns:xm="http://schemas.microsoft.com/office/excel/2006/main">
          <x14:cfRule type="containsText" priority="91" operator="containsText" id="{F6A332A6-A65B-48D0-A059-7800871DB37F}">
            <xm:f>NOT(ISERROR(SEARCH(#REF!,B77)))</xm:f>
            <xm:f>#REF!</xm:f>
            <x14:dxf>
              <font>
                <b val="0"/>
                <i val="0"/>
                <color theme="9" tint="-0.499984740745262"/>
              </font>
              <fill>
                <patternFill>
                  <bgColor theme="9" tint="0.59996337778862885"/>
                </patternFill>
              </fill>
            </x14:dxf>
          </x14:cfRule>
          <x14:cfRule type="containsText" priority="92" operator="containsText" id="{800AD8E5-75ED-4534-9069-5825FF603258}">
            <xm:f>NOT(ISERROR(SEARCH(#REF!,B77)))</xm:f>
            <xm:f>#REF!</xm:f>
            <x14:dxf>
              <font>
                <b val="0"/>
                <i val="0"/>
                <color rgb="FFC00000"/>
              </font>
              <fill>
                <patternFill>
                  <bgColor rgb="FFFFCCCC"/>
                </patternFill>
              </fill>
            </x14:dxf>
          </x14:cfRule>
          <x14:cfRule type="containsText" priority="93" operator="containsText" id="{F7DD04E3-17E1-42B2-A09F-50BBBFB71A8C}">
            <xm:f>NOT(ISERROR(SEARCH(#REF!,B77)))</xm:f>
            <xm:f>#REF!</xm:f>
            <x14:dxf>
              <font>
                <b val="0"/>
                <i val="0"/>
                <color theme="7" tint="-0.499984740745262"/>
              </font>
              <fill>
                <patternFill>
                  <bgColor theme="7" tint="0.59996337778862885"/>
                </patternFill>
              </fill>
            </x14:dxf>
          </x14:cfRule>
          <xm:sqref>B77</xm:sqref>
        </x14:conditionalFormatting>
        <x14:conditionalFormatting xmlns:xm="http://schemas.microsoft.com/office/excel/2006/main">
          <x14:cfRule type="containsText" priority="88" operator="containsText" id="{4CC2B2F8-1E42-4BD4-82C2-203DDFC65B6C}">
            <xm:f>NOT(ISERROR(SEARCH(#REF!,B3)))</xm:f>
            <xm:f>#REF!</xm:f>
            <x14:dxf>
              <font>
                <b val="0"/>
                <i val="0"/>
                <color theme="9" tint="-0.499984740745262"/>
              </font>
              <fill>
                <patternFill>
                  <bgColor theme="9" tint="0.59996337778862885"/>
                </patternFill>
              </fill>
            </x14:dxf>
          </x14:cfRule>
          <x14:cfRule type="containsText" priority="89" operator="containsText" id="{971237CB-EB28-4D5C-A021-73C1F12F2F44}">
            <xm:f>NOT(ISERROR(SEARCH(#REF!,B3)))</xm:f>
            <xm:f>#REF!</xm:f>
            <x14:dxf>
              <font>
                <b val="0"/>
                <i val="0"/>
                <color rgb="FFC00000"/>
              </font>
              <fill>
                <patternFill>
                  <bgColor rgb="FFFFCCCC"/>
                </patternFill>
              </fill>
            </x14:dxf>
          </x14:cfRule>
          <x14:cfRule type="containsText" priority="90" operator="containsText" id="{54C417B6-DA85-40DB-8A2B-C7E87E7BD75A}">
            <xm:f>NOT(ISERROR(SEARCH(#REF!,B3)))</xm:f>
            <xm:f>#REF!</xm:f>
            <x14:dxf>
              <font>
                <b val="0"/>
                <i val="0"/>
                <color theme="7" tint="-0.499984740745262"/>
              </font>
              <fill>
                <patternFill>
                  <bgColor theme="7" tint="0.59996337778862885"/>
                </patternFill>
              </fill>
            </x14:dxf>
          </x14:cfRule>
          <xm:sqref>B3</xm:sqref>
        </x14:conditionalFormatting>
        <x14:conditionalFormatting xmlns:xm="http://schemas.microsoft.com/office/excel/2006/main">
          <x14:cfRule type="containsText" priority="85" operator="containsText" id="{5CE3CBAB-44AA-40D2-A80C-EDD58F9D664E}">
            <xm:f>NOT(ISERROR(SEARCH(#REF!,B5)))</xm:f>
            <xm:f>#REF!</xm:f>
            <x14:dxf>
              <font>
                <b val="0"/>
                <i val="0"/>
                <color theme="9" tint="-0.499984740745262"/>
              </font>
              <fill>
                <patternFill>
                  <bgColor theme="9" tint="0.59996337778862885"/>
                </patternFill>
              </fill>
            </x14:dxf>
          </x14:cfRule>
          <x14:cfRule type="containsText" priority="86" operator="containsText" id="{5F9685C7-4A58-4E6D-BC61-D0A746B07F44}">
            <xm:f>NOT(ISERROR(SEARCH(#REF!,B5)))</xm:f>
            <xm:f>#REF!</xm:f>
            <x14:dxf>
              <font>
                <b val="0"/>
                <i val="0"/>
                <color rgb="FFC00000"/>
              </font>
              <fill>
                <patternFill>
                  <bgColor rgb="FFFFCCCC"/>
                </patternFill>
              </fill>
            </x14:dxf>
          </x14:cfRule>
          <x14:cfRule type="containsText" priority="87" operator="containsText" id="{E4230C98-EB14-43CC-B035-FE78351FC37B}">
            <xm:f>NOT(ISERROR(SEARCH(#REF!,B5)))</xm:f>
            <xm:f>#REF!</xm:f>
            <x14:dxf>
              <font>
                <b val="0"/>
                <i val="0"/>
                <color theme="7" tint="-0.499984740745262"/>
              </font>
              <fill>
                <patternFill>
                  <bgColor theme="7" tint="0.59996337778862885"/>
                </patternFill>
              </fill>
            </x14:dxf>
          </x14:cfRule>
          <xm:sqref>B5</xm:sqref>
        </x14:conditionalFormatting>
        <x14:conditionalFormatting xmlns:xm="http://schemas.microsoft.com/office/excel/2006/main">
          <x14:cfRule type="containsText" priority="82" operator="containsText" id="{EB950BF3-383B-48E7-89D6-69EA2660EE39}">
            <xm:f>NOT(ISERROR(SEARCH(#REF!,B47)))</xm:f>
            <xm:f>#REF!</xm:f>
            <x14:dxf>
              <font>
                <b val="0"/>
                <i val="0"/>
                <color theme="9" tint="-0.499984740745262"/>
              </font>
              <fill>
                <patternFill>
                  <bgColor theme="9" tint="0.59996337778862885"/>
                </patternFill>
              </fill>
            </x14:dxf>
          </x14:cfRule>
          <x14:cfRule type="containsText" priority="83" operator="containsText" id="{0EEDF1D1-220E-450C-BBBE-9B7B24F17A5A}">
            <xm:f>NOT(ISERROR(SEARCH(#REF!,B47)))</xm:f>
            <xm:f>#REF!</xm:f>
            <x14:dxf>
              <font>
                <b val="0"/>
                <i val="0"/>
                <color rgb="FFC00000"/>
              </font>
              <fill>
                <patternFill>
                  <bgColor rgb="FFFFCCCC"/>
                </patternFill>
              </fill>
            </x14:dxf>
          </x14:cfRule>
          <x14:cfRule type="containsText" priority="84" operator="containsText" id="{EA44FA0F-BAF5-48AA-8DEE-8DA79408B119}">
            <xm:f>NOT(ISERROR(SEARCH(#REF!,B47)))</xm:f>
            <xm:f>#REF!</xm:f>
            <x14:dxf>
              <font>
                <b val="0"/>
                <i val="0"/>
                <color theme="7" tint="-0.499984740745262"/>
              </font>
              <fill>
                <patternFill>
                  <bgColor theme="7" tint="0.59996337778862885"/>
                </patternFill>
              </fill>
            </x14:dxf>
          </x14:cfRule>
          <xm:sqref>B47</xm:sqref>
        </x14:conditionalFormatting>
        <x14:conditionalFormatting xmlns:xm="http://schemas.microsoft.com/office/excel/2006/main">
          <x14:cfRule type="containsText" priority="79" operator="containsText" id="{D235371E-B866-43E0-BF44-ACA500E5639B}">
            <xm:f>NOT(ISERROR(SEARCH(#REF!,B48)))</xm:f>
            <xm:f>#REF!</xm:f>
            <x14:dxf>
              <font>
                <b val="0"/>
                <i val="0"/>
                <color theme="9" tint="-0.499984740745262"/>
              </font>
              <fill>
                <patternFill>
                  <bgColor theme="9" tint="0.59996337778862885"/>
                </patternFill>
              </fill>
            </x14:dxf>
          </x14:cfRule>
          <x14:cfRule type="containsText" priority="80" operator="containsText" id="{D77CBB2A-D7FB-4CA2-A357-B49770EA757B}">
            <xm:f>NOT(ISERROR(SEARCH(#REF!,B48)))</xm:f>
            <xm:f>#REF!</xm:f>
            <x14:dxf>
              <font>
                <b val="0"/>
                <i val="0"/>
                <color rgb="FFC00000"/>
              </font>
              <fill>
                <patternFill>
                  <bgColor rgb="FFFFCCCC"/>
                </patternFill>
              </fill>
            </x14:dxf>
          </x14:cfRule>
          <x14:cfRule type="containsText" priority="81" operator="containsText" id="{EF192702-FE22-4BBE-A55B-A0A376035B4D}">
            <xm:f>NOT(ISERROR(SEARCH(#REF!,B48)))</xm:f>
            <xm:f>#REF!</xm:f>
            <x14:dxf>
              <font>
                <b val="0"/>
                <i val="0"/>
                <color theme="7" tint="-0.499984740745262"/>
              </font>
              <fill>
                <patternFill>
                  <bgColor theme="7" tint="0.59996337778862885"/>
                </patternFill>
              </fill>
            </x14:dxf>
          </x14:cfRule>
          <xm:sqref>B48</xm:sqref>
        </x14:conditionalFormatting>
        <x14:conditionalFormatting xmlns:xm="http://schemas.microsoft.com/office/excel/2006/main">
          <x14:cfRule type="containsText" priority="76" operator="containsText" id="{6FDB92F9-2951-48A8-95F2-78F697ADE26D}">
            <xm:f>NOT(ISERROR(SEARCH(#REF!,B49)))</xm:f>
            <xm:f>#REF!</xm:f>
            <x14:dxf>
              <font>
                <b val="0"/>
                <i val="0"/>
                <color theme="9" tint="-0.499984740745262"/>
              </font>
              <fill>
                <patternFill>
                  <bgColor theme="9" tint="0.59996337778862885"/>
                </patternFill>
              </fill>
            </x14:dxf>
          </x14:cfRule>
          <x14:cfRule type="containsText" priority="77" operator="containsText" id="{B2E58464-E83E-4381-BC44-3EB02D4C9EEF}">
            <xm:f>NOT(ISERROR(SEARCH(#REF!,B49)))</xm:f>
            <xm:f>#REF!</xm:f>
            <x14:dxf>
              <font>
                <b val="0"/>
                <i val="0"/>
                <color rgb="FFC00000"/>
              </font>
              <fill>
                <patternFill>
                  <bgColor rgb="FFFFCCCC"/>
                </patternFill>
              </fill>
            </x14:dxf>
          </x14:cfRule>
          <x14:cfRule type="containsText" priority="78" operator="containsText" id="{45115A4C-6FDE-49B4-AC06-3AE12BC2BCF1}">
            <xm:f>NOT(ISERROR(SEARCH(#REF!,B49)))</xm:f>
            <xm:f>#REF!</xm:f>
            <x14:dxf>
              <font>
                <b val="0"/>
                <i val="0"/>
                <color theme="7" tint="-0.499984740745262"/>
              </font>
              <fill>
                <patternFill>
                  <bgColor theme="7" tint="0.59996337778862885"/>
                </patternFill>
              </fill>
            </x14:dxf>
          </x14:cfRule>
          <xm:sqref>B49</xm:sqref>
        </x14:conditionalFormatting>
        <x14:conditionalFormatting xmlns:xm="http://schemas.microsoft.com/office/excel/2006/main">
          <x14:cfRule type="containsText" priority="73" operator="containsText" id="{B0ABC5D9-3EE8-46AC-A03B-0E877256B1CB}">
            <xm:f>NOT(ISERROR(SEARCH(#REF!,B50)))</xm:f>
            <xm:f>#REF!</xm:f>
            <x14:dxf>
              <font>
                <b val="0"/>
                <i val="0"/>
                <color theme="9" tint="-0.499984740745262"/>
              </font>
              <fill>
                <patternFill>
                  <bgColor theme="9" tint="0.59996337778862885"/>
                </patternFill>
              </fill>
            </x14:dxf>
          </x14:cfRule>
          <x14:cfRule type="containsText" priority="74" operator="containsText" id="{C8B80368-E958-4657-B7C9-FDCA5FA6A70F}">
            <xm:f>NOT(ISERROR(SEARCH(#REF!,B50)))</xm:f>
            <xm:f>#REF!</xm:f>
            <x14:dxf>
              <font>
                <b val="0"/>
                <i val="0"/>
                <color rgb="FFC00000"/>
              </font>
              <fill>
                <patternFill>
                  <bgColor rgb="FFFFCCCC"/>
                </patternFill>
              </fill>
            </x14:dxf>
          </x14:cfRule>
          <x14:cfRule type="containsText" priority="75" operator="containsText" id="{A6658F4A-0ADE-41AA-A90C-4C0E2C6839A7}">
            <xm:f>NOT(ISERROR(SEARCH(#REF!,B50)))</xm:f>
            <xm:f>#REF!</xm:f>
            <x14:dxf>
              <font>
                <b val="0"/>
                <i val="0"/>
                <color theme="7" tint="-0.499984740745262"/>
              </font>
              <fill>
                <patternFill>
                  <bgColor theme="7" tint="0.59996337778862885"/>
                </patternFill>
              </fill>
            </x14:dxf>
          </x14:cfRule>
          <xm:sqref>B50</xm:sqref>
        </x14:conditionalFormatting>
        <x14:conditionalFormatting xmlns:xm="http://schemas.microsoft.com/office/excel/2006/main">
          <x14:cfRule type="containsText" priority="70" operator="containsText" id="{0B296E4D-813C-458D-80CE-1CEC45713148}">
            <xm:f>NOT(ISERROR(SEARCH(#REF!,B51)))</xm:f>
            <xm:f>#REF!</xm:f>
            <x14:dxf>
              <font>
                <b val="0"/>
                <i val="0"/>
                <color theme="9" tint="-0.499984740745262"/>
              </font>
              <fill>
                <patternFill>
                  <bgColor theme="9" tint="0.59996337778862885"/>
                </patternFill>
              </fill>
            </x14:dxf>
          </x14:cfRule>
          <x14:cfRule type="containsText" priority="71" operator="containsText" id="{547CE5CF-2DD1-4EFA-9A6B-2E21321096AE}">
            <xm:f>NOT(ISERROR(SEARCH(#REF!,B51)))</xm:f>
            <xm:f>#REF!</xm:f>
            <x14:dxf>
              <font>
                <b val="0"/>
                <i val="0"/>
                <color rgb="FFC00000"/>
              </font>
              <fill>
                <patternFill>
                  <bgColor rgb="FFFFCCCC"/>
                </patternFill>
              </fill>
            </x14:dxf>
          </x14:cfRule>
          <x14:cfRule type="containsText" priority="72" operator="containsText" id="{C8EB2B35-6B04-4713-872B-5493B6CD87E0}">
            <xm:f>NOT(ISERROR(SEARCH(#REF!,B51)))</xm:f>
            <xm:f>#REF!</xm:f>
            <x14:dxf>
              <font>
                <b val="0"/>
                <i val="0"/>
                <color theme="7" tint="-0.499984740745262"/>
              </font>
              <fill>
                <patternFill>
                  <bgColor theme="7" tint="0.59996337778862885"/>
                </patternFill>
              </fill>
            </x14:dxf>
          </x14:cfRule>
          <xm:sqref>B51</xm:sqref>
        </x14:conditionalFormatting>
        <x14:conditionalFormatting xmlns:xm="http://schemas.microsoft.com/office/excel/2006/main">
          <x14:cfRule type="containsText" priority="67" operator="containsText" id="{FA0C44DD-62EF-4BBD-90AB-B76CB0DE5CE1}">
            <xm:f>NOT(ISERROR(SEARCH(#REF!,B53)))</xm:f>
            <xm:f>#REF!</xm:f>
            <x14:dxf>
              <font>
                <b val="0"/>
                <i val="0"/>
                <color theme="9" tint="-0.499984740745262"/>
              </font>
              <fill>
                <patternFill>
                  <bgColor theme="9" tint="0.59996337778862885"/>
                </patternFill>
              </fill>
            </x14:dxf>
          </x14:cfRule>
          <x14:cfRule type="containsText" priority="68" operator="containsText" id="{9230766A-B973-4082-BDE7-53A99B07D9FC}">
            <xm:f>NOT(ISERROR(SEARCH(#REF!,B53)))</xm:f>
            <xm:f>#REF!</xm:f>
            <x14:dxf>
              <font>
                <b val="0"/>
                <i val="0"/>
                <color rgb="FFC00000"/>
              </font>
              <fill>
                <patternFill>
                  <bgColor rgb="FFFFCCCC"/>
                </patternFill>
              </fill>
            </x14:dxf>
          </x14:cfRule>
          <x14:cfRule type="containsText" priority="69" operator="containsText" id="{F7A746DD-7CEE-48B8-8EAE-5B0D8758679A}">
            <xm:f>NOT(ISERROR(SEARCH(#REF!,B53)))</xm:f>
            <xm:f>#REF!</xm:f>
            <x14:dxf>
              <font>
                <b val="0"/>
                <i val="0"/>
                <color theme="7" tint="-0.499984740745262"/>
              </font>
              <fill>
                <patternFill>
                  <bgColor theme="7" tint="0.59996337778862885"/>
                </patternFill>
              </fill>
            </x14:dxf>
          </x14:cfRule>
          <xm:sqref>B53</xm:sqref>
        </x14:conditionalFormatting>
        <x14:conditionalFormatting xmlns:xm="http://schemas.microsoft.com/office/excel/2006/main">
          <x14:cfRule type="containsText" priority="58" operator="containsText" id="{364FDECE-F902-44B1-8968-3C14AC9B54AF}">
            <xm:f>NOT(ISERROR(SEARCH(#REF!,B37)))</xm:f>
            <xm:f>#REF!</xm:f>
            <x14:dxf>
              <font>
                <b val="0"/>
                <i val="0"/>
                <color theme="9" tint="-0.499984740745262"/>
              </font>
              <fill>
                <patternFill>
                  <bgColor theme="9" tint="0.59996337778862885"/>
                </patternFill>
              </fill>
            </x14:dxf>
          </x14:cfRule>
          <x14:cfRule type="containsText" priority="59" operator="containsText" id="{45C49A88-1000-43D1-B502-E4527A305EFB}">
            <xm:f>NOT(ISERROR(SEARCH(#REF!,B37)))</xm:f>
            <xm:f>#REF!</xm:f>
            <x14:dxf>
              <font>
                <b val="0"/>
                <i val="0"/>
                <color rgb="FFC00000"/>
              </font>
              <fill>
                <patternFill>
                  <bgColor rgb="FFFFCCCC"/>
                </patternFill>
              </fill>
            </x14:dxf>
          </x14:cfRule>
          <x14:cfRule type="containsText" priority="60" operator="containsText" id="{022CD4B3-3C3A-4303-BF87-9B6F7F33E9B3}">
            <xm:f>NOT(ISERROR(SEARCH(#REF!,B37)))</xm:f>
            <xm:f>#REF!</xm:f>
            <x14:dxf>
              <font>
                <b val="0"/>
                <i val="0"/>
                <color theme="7" tint="-0.499984740745262"/>
              </font>
              <fill>
                <patternFill>
                  <bgColor theme="7" tint="0.59996337778862885"/>
                </patternFill>
              </fill>
            </x14:dxf>
          </x14:cfRule>
          <xm:sqref>B37</xm:sqref>
        </x14:conditionalFormatting>
        <x14:conditionalFormatting xmlns:xm="http://schemas.microsoft.com/office/excel/2006/main">
          <x14:cfRule type="containsText" priority="61" operator="containsText" id="{CBFFFC26-C977-4B0A-8095-CBB052C2483D}">
            <xm:f>NOT(ISERROR(SEARCH(#REF!,B36)))</xm:f>
            <xm:f>#REF!</xm:f>
            <x14:dxf>
              <font>
                <b val="0"/>
                <i val="0"/>
                <color theme="9" tint="-0.499984740745262"/>
              </font>
              <fill>
                <patternFill>
                  <bgColor theme="9" tint="0.59996337778862885"/>
                </patternFill>
              </fill>
            </x14:dxf>
          </x14:cfRule>
          <x14:cfRule type="containsText" priority="62" operator="containsText" id="{CC9CE34A-DEDD-4A59-A9BE-53D79C34ADC4}">
            <xm:f>NOT(ISERROR(SEARCH(#REF!,B36)))</xm:f>
            <xm:f>#REF!</xm:f>
            <x14:dxf>
              <font>
                <b val="0"/>
                <i val="0"/>
                <color rgb="FFC00000"/>
              </font>
              <fill>
                <patternFill>
                  <bgColor rgb="FFFFCCCC"/>
                </patternFill>
              </fill>
            </x14:dxf>
          </x14:cfRule>
          <x14:cfRule type="containsText" priority="63" operator="containsText" id="{F584C77D-8F80-419E-AA79-EBABD2C41379}">
            <xm:f>NOT(ISERROR(SEARCH(#REF!,B36)))</xm:f>
            <xm:f>#REF!</xm:f>
            <x14:dxf>
              <font>
                <b val="0"/>
                <i val="0"/>
                <color theme="7" tint="-0.499984740745262"/>
              </font>
              <fill>
                <patternFill>
                  <bgColor theme="7" tint="0.59996337778862885"/>
                </patternFill>
              </fill>
            </x14:dxf>
          </x14:cfRule>
          <xm:sqref>B36</xm:sqref>
        </x14:conditionalFormatting>
        <x14:conditionalFormatting xmlns:xm="http://schemas.microsoft.com/office/excel/2006/main">
          <x14:cfRule type="containsText" priority="52" operator="containsText" id="{9C366D47-0542-434D-A085-2714CA86D6E3}">
            <xm:f>NOT(ISERROR(SEARCH(#REF!,B40)))</xm:f>
            <xm:f>#REF!</xm:f>
            <x14:dxf>
              <font>
                <b val="0"/>
                <i val="0"/>
                <color theme="9" tint="-0.499984740745262"/>
              </font>
              <fill>
                <patternFill>
                  <bgColor theme="9" tint="0.59996337778862885"/>
                </patternFill>
              </fill>
            </x14:dxf>
          </x14:cfRule>
          <x14:cfRule type="containsText" priority="53" operator="containsText" id="{2963AF4C-E9AF-4100-A5E1-E7058C3F8443}">
            <xm:f>NOT(ISERROR(SEARCH(#REF!,B40)))</xm:f>
            <xm:f>#REF!</xm:f>
            <x14:dxf>
              <font>
                <b val="0"/>
                <i val="0"/>
                <color rgb="FFC00000"/>
              </font>
              <fill>
                <patternFill>
                  <bgColor rgb="FFFFCCCC"/>
                </patternFill>
              </fill>
            </x14:dxf>
          </x14:cfRule>
          <x14:cfRule type="containsText" priority="54" operator="containsText" id="{FE22E10A-430C-4B0A-8617-550C25F5F18E}">
            <xm:f>NOT(ISERROR(SEARCH(#REF!,B40)))</xm:f>
            <xm:f>#REF!</xm:f>
            <x14:dxf>
              <font>
                <b val="0"/>
                <i val="0"/>
                <color theme="7" tint="-0.499984740745262"/>
              </font>
              <fill>
                <patternFill>
                  <bgColor theme="7" tint="0.59996337778862885"/>
                </patternFill>
              </fill>
            </x14:dxf>
          </x14:cfRule>
          <xm:sqref>B40</xm:sqref>
        </x14:conditionalFormatting>
        <x14:conditionalFormatting xmlns:xm="http://schemas.microsoft.com/office/excel/2006/main">
          <x14:cfRule type="containsText" priority="49" operator="containsText" id="{4C2E7E47-C899-4081-A945-5AD69B172733}">
            <xm:f>NOT(ISERROR(SEARCH(#REF!,B41)))</xm:f>
            <xm:f>#REF!</xm:f>
            <x14:dxf>
              <font>
                <b val="0"/>
                <i val="0"/>
                <color theme="9" tint="-0.499984740745262"/>
              </font>
              <fill>
                <patternFill>
                  <bgColor theme="9" tint="0.59996337778862885"/>
                </patternFill>
              </fill>
            </x14:dxf>
          </x14:cfRule>
          <x14:cfRule type="containsText" priority="50" operator="containsText" id="{03DF68F7-F7DE-4AE1-AE22-6AFDCB34375A}">
            <xm:f>NOT(ISERROR(SEARCH(#REF!,B41)))</xm:f>
            <xm:f>#REF!</xm:f>
            <x14:dxf>
              <font>
                <b val="0"/>
                <i val="0"/>
                <color rgb="FFC00000"/>
              </font>
              <fill>
                <patternFill>
                  <bgColor rgb="FFFFCCCC"/>
                </patternFill>
              </fill>
            </x14:dxf>
          </x14:cfRule>
          <x14:cfRule type="containsText" priority="51" operator="containsText" id="{635AF6DF-4885-42C3-8BC3-82E15755A181}">
            <xm:f>NOT(ISERROR(SEARCH(#REF!,B41)))</xm:f>
            <xm:f>#REF!</xm:f>
            <x14:dxf>
              <font>
                <b val="0"/>
                <i val="0"/>
                <color theme="7" tint="-0.499984740745262"/>
              </font>
              <fill>
                <patternFill>
                  <bgColor theme="7" tint="0.59996337778862885"/>
                </patternFill>
              </fill>
            </x14:dxf>
          </x14:cfRule>
          <xm:sqref>B41:B42</xm:sqref>
        </x14:conditionalFormatting>
        <x14:conditionalFormatting xmlns:xm="http://schemas.microsoft.com/office/excel/2006/main">
          <x14:cfRule type="containsText" priority="46" operator="containsText" id="{832E39CA-80E7-421D-80AC-722C6909D18E}">
            <xm:f>NOT(ISERROR(SEARCH(#REF!,B79)))</xm:f>
            <xm:f>#REF!</xm:f>
            <x14:dxf>
              <font>
                <b val="0"/>
                <i val="0"/>
                <color theme="9" tint="-0.499984740745262"/>
              </font>
              <fill>
                <patternFill>
                  <bgColor theme="9" tint="0.59996337778862885"/>
                </patternFill>
              </fill>
            </x14:dxf>
          </x14:cfRule>
          <x14:cfRule type="containsText" priority="47" operator="containsText" id="{9766FA80-6265-41A5-9137-72CCB5EF9315}">
            <xm:f>NOT(ISERROR(SEARCH(#REF!,B79)))</xm:f>
            <xm:f>#REF!</xm:f>
            <x14:dxf>
              <font>
                <b val="0"/>
                <i val="0"/>
                <color rgb="FFC00000"/>
              </font>
              <fill>
                <patternFill>
                  <bgColor rgb="FFFFCCCC"/>
                </patternFill>
              </fill>
            </x14:dxf>
          </x14:cfRule>
          <x14:cfRule type="containsText" priority="48" operator="containsText" id="{9A2FB280-6ECE-4743-98C4-560413C315FA}">
            <xm:f>NOT(ISERROR(SEARCH(#REF!,B79)))</xm:f>
            <xm:f>#REF!</xm:f>
            <x14:dxf>
              <font>
                <b val="0"/>
                <i val="0"/>
                <color theme="7" tint="-0.499984740745262"/>
              </font>
              <fill>
                <patternFill>
                  <bgColor theme="7" tint="0.59996337778862885"/>
                </patternFill>
              </fill>
            </x14:dxf>
          </x14:cfRule>
          <xm:sqref>B79</xm:sqref>
        </x14:conditionalFormatting>
        <x14:conditionalFormatting xmlns:xm="http://schemas.microsoft.com/office/excel/2006/main">
          <x14:cfRule type="containsText" priority="43" operator="containsText" id="{E41A6C02-E1D0-4A46-BBFF-F0D01097AFC9}">
            <xm:f>NOT(ISERROR(SEARCH(#REF!,B86)))</xm:f>
            <xm:f>#REF!</xm:f>
            <x14:dxf>
              <font>
                <b val="0"/>
                <i val="0"/>
                <color theme="9" tint="-0.499984740745262"/>
              </font>
              <fill>
                <patternFill>
                  <bgColor theme="9" tint="0.59996337778862885"/>
                </patternFill>
              </fill>
            </x14:dxf>
          </x14:cfRule>
          <x14:cfRule type="containsText" priority="44" operator="containsText" id="{D83F9CA7-A22B-4130-9556-C0E85B23D56F}">
            <xm:f>NOT(ISERROR(SEARCH(#REF!,B86)))</xm:f>
            <xm:f>#REF!</xm:f>
            <x14:dxf>
              <font>
                <b val="0"/>
                <i val="0"/>
                <color rgb="FFC00000"/>
              </font>
              <fill>
                <patternFill>
                  <bgColor rgb="FFFFCCCC"/>
                </patternFill>
              </fill>
            </x14:dxf>
          </x14:cfRule>
          <x14:cfRule type="containsText" priority="45" operator="containsText" id="{21D140CB-3B07-4DC3-8BBA-964177CC6121}">
            <xm:f>NOT(ISERROR(SEARCH(#REF!,B86)))</xm:f>
            <xm:f>#REF!</xm:f>
            <x14:dxf>
              <font>
                <b val="0"/>
                <i val="0"/>
                <color theme="7" tint="-0.499984740745262"/>
              </font>
              <fill>
                <patternFill>
                  <bgColor theme="7" tint="0.59996337778862885"/>
                </patternFill>
              </fill>
            </x14:dxf>
          </x14:cfRule>
          <xm:sqref>B86</xm:sqref>
        </x14:conditionalFormatting>
        <x14:conditionalFormatting xmlns:xm="http://schemas.microsoft.com/office/excel/2006/main">
          <x14:cfRule type="containsText" priority="40" operator="containsText" id="{A0B7C82E-4EA2-401C-9FAC-E87DFC925A9F}">
            <xm:f>NOT(ISERROR(SEARCH(#REF!,B32)))</xm:f>
            <xm:f>#REF!</xm:f>
            <x14:dxf>
              <font>
                <b val="0"/>
                <i val="0"/>
                <color theme="9" tint="-0.499984740745262"/>
              </font>
              <fill>
                <patternFill>
                  <bgColor theme="9" tint="0.59996337778862885"/>
                </patternFill>
              </fill>
            </x14:dxf>
          </x14:cfRule>
          <x14:cfRule type="containsText" priority="41" operator="containsText" id="{F3BEC328-8B5C-4014-8110-2DF9AA92184C}">
            <xm:f>NOT(ISERROR(SEARCH(#REF!,B32)))</xm:f>
            <xm:f>#REF!</xm:f>
            <x14:dxf>
              <font>
                <b val="0"/>
                <i val="0"/>
                <color rgb="FFC00000"/>
              </font>
              <fill>
                <patternFill>
                  <bgColor rgb="FFFFCCCC"/>
                </patternFill>
              </fill>
            </x14:dxf>
          </x14:cfRule>
          <x14:cfRule type="containsText" priority="42" operator="containsText" id="{27562044-92F1-4B3C-AD97-3453E34B7DEE}">
            <xm:f>NOT(ISERROR(SEARCH(#REF!,B32)))</xm:f>
            <xm:f>#REF!</xm:f>
            <x14:dxf>
              <font>
                <b val="0"/>
                <i val="0"/>
                <color theme="7" tint="-0.499984740745262"/>
              </font>
              <fill>
                <patternFill>
                  <bgColor theme="7" tint="0.59996337778862885"/>
                </patternFill>
              </fill>
            </x14:dxf>
          </x14:cfRule>
          <xm:sqref>B32</xm:sqref>
        </x14:conditionalFormatting>
        <x14:conditionalFormatting xmlns:xm="http://schemas.microsoft.com/office/excel/2006/main">
          <x14:cfRule type="containsText" priority="34" operator="containsText" id="{9753262B-7893-4871-AB99-48E82BF7F8E1}">
            <xm:f>NOT(ISERROR(SEARCH(#REF!,B39)))</xm:f>
            <xm:f>#REF!</xm:f>
            <x14:dxf>
              <font>
                <b val="0"/>
                <i val="0"/>
                <color theme="9" tint="-0.499984740745262"/>
              </font>
              <fill>
                <patternFill>
                  <bgColor theme="9" tint="0.59996337778862885"/>
                </patternFill>
              </fill>
            </x14:dxf>
          </x14:cfRule>
          <x14:cfRule type="containsText" priority="35" operator="containsText" id="{88D51DA2-4D13-4DF8-AAD1-824DD16D0CEF}">
            <xm:f>NOT(ISERROR(SEARCH(#REF!,B39)))</xm:f>
            <xm:f>#REF!</xm:f>
            <x14:dxf>
              <font>
                <b val="0"/>
                <i val="0"/>
                <color rgb="FFC00000"/>
              </font>
              <fill>
                <patternFill>
                  <bgColor rgb="FFFFCCCC"/>
                </patternFill>
              </fill>
            </x14:dxf>
          </x14:cfRule>
          <x14:cfRule type="containsText" priority="36" operator="containsText" id="{27AB2BB1-3E33-4052-9FF8-ED53CF1C3CE3}">
            <xm:f>NOT(ISERROR(SEARCH(#REF!,B39)))</xm:f>
            <xm:f>#REF!</xm:f>
            <x14:dxf>
              <font>
                <b val="0"/>
                <i val="0"/>
                <color theme="7" tint="-0.499984740745262"/>
              </font>
              <fill>
                <patternFill>
                  <bgColor theme="7" tint="0.59996337778862885"/>
                </patternFill>
              </fill>
            </x14:dxf>
          </x14:cfRule>
          <xm:sqref>B39</xm:sqref>
        </x14:conditionalFormatting>
        <x14:conditionalFormatting xmlns:xm="http://schemas.microsoft.com/office/excel/2006/main">
          <x14:cfRule type="containsText" priority="31" operator="containsText" id="{CB02516D-E324-41B5-A50F-520C5F3A943F}">
            <xm:f>NOT(ISERROR(SEARCH(#REF!,B59)))</xm:f>
            <xm:f>#REF!</xm:f>
            <x14:dxf>
              <font>
                <b val="0"/>
                <i val="0"/>
                <color theme="9" tint="-0.499984740745262"/>
              </font>
              <fill>
                <patternFill>
                  <bgColor theme="9" tint="0.59996337778862885"/>
                </patternFill>
              </fill>
            </x14:dxf>
          </x14:cfRule>
          <x14:cfRule type="containsText" priority="32" operator="containsText" id="{A8CF4504-647C-4A53-8C19-6224651E8811}">
            <xm:f>NOT(ISERROR(SEARCH(#REF!,B59)))</xm:f>
            <xm:f>#REF!</xm:f>
            <x14:dxf>
              <font>
                <b val="0"/>
                <i val="0"/>
                <color rgb="FFC00000"/>
              </font>
              <fill>
                <patternFill>
                  <bgColor rgb="FFFFCCCC"/>
                </patternFill>
              </fill>
            </x14:dxf>
          </x14:cfRule>
          <x14:cfRule type="containsText" priority="33" operator="containsText" id="{09ACECC7-CAA3-40BE-A0C3-2829C615E916}">
            <xm:f>NOT(ISERROR(SEARCH(#REF!,B59)))</xm:f>
            <xm:f>#REF!</xm:f>
            <x14:dxf>
              <font>
                <b val="0"/>
                <i val="0"/>
                <color theme="7" tint="-0.499984740745262"/>
              </font>
              <fill>
                <patternFill>
                  <bgColor theme="7" tint="0.59996337778862885"/>
                </patternFill>
              </fill>
            </x14:dxf>
          </x14:cfRule>
          <xm:sqref>B59</xm:sqref>
        </x14:conditionalFormatting>
        <x14:conditionalFormatting xmlns:xm="http://schemas.microsoft.com/office/excel/2006/main">
          <x14:cfRule type="containsText" priority="28" operator="containsText" id="{C4BB2695-45E5-41B6-8562-1FD1A9592863}">
            <xm:f>NOT(ISERROR(SEARCH(#REF!,B61)))</xm:f>
            <xm:f>#REF!</xm:f>
            <x14:dxf>
              <font>
                <b val="0"/>
                <i val="0"/>
                <color theme="9" tint="-0.499984740745262"/>
              </font>
              <fill>
                <patternFill>
                  <bgColor theme="9" tint="0.59996337778862885"/>
                </patternFill>
              </fill>
            </x14:dxf>
          </x14:cfRule>
          <x14:cfRule type="containsText" priority="29" operator="containsText" id="{7BCC4CDF-2B56-4D3B-B596-CD6DE57DD1C5}">
            <xm:f>NOT(ISERROR(SEARCH(#REF!,B61)))</xm:f>
            <xm:f>#REF!</xm:f>
            <x14:dxf>
              <font>
                <b val="0"/>
                <i val="0"/>
                <color rgb="FFC00000"/>
              </font>
              <fill>
                <patternFill>
                  <bgColor rgb="FFFFCCCC"/>
                </patternFill>
              </fill>
            </x14:dxf>
          </x14:cfRule>
          <x14:cfRule type="containsText" priority="30" operator="containsText" id="{04D83568-B665-42AA-BAC1-46A9E42079E9}">
            <xm:f>NOT(ISERROR(SEARCH(#REF!,B61)))</xm:f>
            <xm:f>#REF!</xm:f>
            <x14:dxf>
              <font>
                <b val="0"/>
                <i val="0"/>
                <color theme="7" tint="-0.499984740745262"/>
              </font>
              <fill>
                <patternFill>
                  <bgColor theme="7" tint="0.59996337778862885"/>
                </patternFill>
              </fill>
            </x14:dxf>
          </x14:cfRule>
          <xm:sqref>B61</xm:sqref>
        </x14:conditionalFormatting>
        <x14:conditionalFormatting xmlns:xm="http://schemas.microsoft.com/office/excel/2006/main">
          <x14:cfRule type="containsText" priority="25" operator="containsText" id="{AB60D956-2602-4954-8759-A30C880E6623}">
            <xm:f>NOT(ISERROR(SEARCH(#REF!,B62)))</xm:f>
            <xm:f>#REF!</xm:f>
            <x14:dxf>
              <font>
                <b val="0"/>
                <i val="0"/>
                <color theme="9" tint="-0.499984740745262"/>
              </font>
              <fill>
                <patternFill>
                  <bgColor theme="9" tint="0.59996337778862885"/>
                </patternFill>
              </fill>
            </x14:dxf>
          </x14:cfRule>
          <x14:cfRule type="containsText" priority="26" operator="containsText" id="{EF8D281A-6D0E-4B55-853A-BE9902467EED}">
            <xm:f>NOT(ISERROR(SEARCH(#REF!,B62)))</xm:f>
            <xm:f>#REF!</xm:f>
            <x14:dxf>
              <font>
                <b val="0"/>
                <i val="0"/>
                <color rgb="FFC00000"/>
              </font>
              <fill>
                <patternFill>
                  <bgColor rgb="FFFFCCCC"/>
                </patternFill>
              </fill>
            </x14:dxf>
          </x14:cfRule>
          <x14:cfRule type="containsText" priority="27" operator="containsText" id="{DDD461DC-C8EA-4F64-BE34-DCC2FFE0FC2C}">
            <xm:f>NOT(ISERROR(SEARCH(#REF!,B62)))</xm:f>
            <xm:f>#REF!</xm:f>
            <x14:dxf>
              <font>
                <b val="0"/>
                <i val="0"/>
                <color theme="7" tint="-0.499984740745262"/>
              </font>
              <fill>
                <patternFill>
                  <bgColor theme="7" tint="0.59996337778862885"/>
                </patternFill>
              </fill>
            </x14:dxf>
          </x14:cfRule>
          <xm:sqref>B62</xm:sqref>
        </x14:conditionalFormatting>
        <x14:conditionalFormatting xmlns:xm="http://schemas.microsoft.com/office/excel/2006/main">
          <x14:cfRule type="containsText" priority="22" operator="containsText" id="{D3170675-9DA1-4EA0-8256-47A5B8750501}">
            <xm:f>NOT(ISERROR(SEARCH(#REF!,B63)))</xm:f>
            <xm:f>#REF!</xm:f>
            <x14:dxf>
              <font>
                <b val="0"/>
                <i val="0"/>
                <color theme="9" tint="-0.499984740745262"/>
              </font>
              <fill>
                <patternFill>
                  <bgColor theme="9" tint="0.59996337778862885"/>
                </patternFill>
              </fill>
            </x14:dxf>
          </x14:cfRule>
          <x14:cfRule type="containsText" priority="23" operator="containsText" id="{C18C205E-AAA5-4262-9278-6FFC40AFE391}">
            <xm:f>NOT(ISERROR(SEARCH(#REF!,B63)))</xm:f>
            <xm:f>#REF!</xm:f>
            <x14:dxf>
              <font>
                <b val="0"/>
                <i val="0"/>
                <color rgb="FFC00000"/>
              </font>
              <fill>
                <patternFill>
                  <bgColor rgb="FFFFCCCC"/>
                </patternFill>
              </fill>
            </x14:dxf>
          </x14:cfRule>
          <x14:cfRule type="containsText" priority="24" operator="containsText" id="{45CB4DE7-F8F5-4B37-8C88-0962BF7EF26D}">
            <xm:f>NOT(ISERROR(SEARCH(#REF!,B63)))</xm:f>
            <xm:f>#REF!</xm:f>
            <x14:dxf>
              <font>
                <b val="0"/>
                <i val="0"/>
                <color theme="7" tint="-0.499984740745262"/>
              </font>
              <fill>
                <patternFill>
                  <bgColor theme="7" tint="0.59996337778862885"/>
                </patternFill>
              </fill>
            </x14:dxf>
          </x14:cfRule>
          <xm:sqref>B63</xm:sqref>
        </x14:conditionalFormatting>
        <x14:conditionalFormatting xmlns:xm="http://schemas.microsoft.com/office/excel/2006/main">
          <x14:cfRule type="containsText" priority="19" operator="containsText" id="{BA508F6B-9653-440D-99FD-9C16A97EF221}">
            <xm:f>NOT(ISERROR(SEARCH(#REF!,B64)))</xm:f>
            <xm:f>#REF!</xm:f>
            <x14:dxf>
              <font>
                <b val="0"/>
                <i val="0"/>
                <color theme="9" tint="-0.499984740745262"/>
              </font>
              <fill>
                <patternFill>
                  <bgColor theme="9" tint="0.59996337778862885"/>
                </patternFill>
              </fill>
            </x14:dxf>
          </x14:cfRule>
          <x14:cfRule type="containsText" priority="20" operator="containsText" id="{2636FECB-8E2F-4B91-94B5-1FBF566DD64B}">
            <xm:f>NOT(ISERROR(SEARCH(#REF!,B64)))</xm:f>
            <xm:f>#REF!</xm:f>
            <x14:dxf>
              <font>
                <b val="0"/>
                <i val="0"/>
                <color rgb="FFC00000"/>
              </font>
              <fill>
                <patternFill>
                  <bgColor rgb="FFFFCCCC"/>
                </patternFill>
              </fill>
            </x14:dxf>
          </x14:cfRule>
          <x14:cfRule type="containsText" priority="21" operator="containsText" id="{C2BBC5A0-B59D-46EC-BE6D-1DCAA9B343F6}">
            <xm:f>NOT(ISERROR(SEARCH(#REF!,B64)))</xm:f>
            <xm:f>#REF!</xm:f>
            <x14:dxf>
              <font>
                <b val="0"/>
                <i val="0"/>
                <color theme="7" tint="-0.499984740745262"/>
              </font>
              <fill>
                <patternFill>
                  <bgColor theme="7" tint="0.59996337778862885"/>
                </patternFill>
              </fill>
            </x14:dxf>
          </x14:cfRule>
          <xm:sqref>B64</xm:sqref>
        </x14:conditionalFormatting>
        <x14:conditionalFormatting xmlns:xm="http://schemas.microsoft.com/office/excel/2006/main">
          <x14:cfRule type="containsText" priority="16" operator="containsText" id="{F308AD42-D290-4EBD-A84B-E40AB50A512C}">
            <xm:f>NOT(ISERROR(SEARCH(#REF!,B65)))</xm:f>
            <xm:f>#REF!</xm:f>
            <x14:dxf>
              <font>
                <b val="0"/>
                <i val="0"/>
                <color theme="9" tint="-0.499984740745262"/>
              </font>
              <fill>
                <patternFill>
                  <bgColor theme="9" tint="0.59996337778862885"/>
                </patternFill>
              </fill>
            </x14:dxf>
          </x14:cfRule>
          <x14:cfRule type="containsText" priority="17" operator="containsText" id="{7307A3CA-3C1B-42E5-B2FE-C7A6CC718B16}">
            <xm:f>NOT(ISERROR(SEARCH(#REF!,B65)))</xm:f>
            <xm:f>#REF!</xm:f>
            <x14:dxf>
              <font>
                <b val="0"/>
                <i val="0"/>
                <color rgb="FFC00000"/>
              </font>
              <fill>
                <patternFill>
                  <bgColor rgb="FFFFCCCC"/>
                </patternFill>
              </fill>
            </x14:dxf>
          </x14:cfRule>
          <x14:cfRule type="containsText" priority="18" operator="containsText" id="{28B24315-52D1-4494-B08D-1F518723FBA3}">
            <xm:f>NOT(ISERROR(SEARCH(#REF!,B65)))</xm:f>
            <xm:f>#REF!</xm:f>
            <x14:dxf>
              <font>
                <b val="0"/>
                <i val="0"/>
                <color theme="7" tint="-0.499984740745262"/>
              </font>
              <fill>
                <patternFill>
                  <bgColor theme="7" tint="0.59996337778862885"/>
                </patternFill>
              </fill>
            </x14:dxf>
          </x14:cfRule>
          <xm:sqref>B65</xm:sqref>
        </x14:conditionalFormatting>
        <x14:conditionalFormatting xmlns:xm="http://schemas.microsoft.com/office/excel/2006/main">
          <x14:cfRule type="containsText" priority="13" operator="containsText" id="{F21605E2-366A-432B-8D58-6EED1E969FC7}">
            <xm:f>NOT(ISERROR(SEARCH(#REF!,B67)))</xm:f>
            <xm:f>#REF!</xm:f>
            <x14:dxf>
              <font>
                <b val="0"/>
                <i val="0"/>
                <color theme="9" tint="-0.499984740745262"/>
              </font>
              <fill>
                <patternFill>
                  <bgColor theme="9" tint="0.59996337778862885"/>
                </patternFill>
              </fill>
            </x14:dxf>
          </x14:cfRule>
          <x14:cfRule type="containsText" priority="14" operator="containsText" id="{EB84EBB1-3B35-49A7-8C8C-6237F2871347}">
            <xm:f>NOT(ISERROR(SEARCH(#REF!,B67)))</xm:f>
            <xm:f>#REF!</xm:f>
            <x14:dxf>
              <font>
                <b val="0"/>
                <i val="0"/>
                <color rgb="FFC00000"/>
              </font>
              <fill>
                <patternFill>
                  <bgColor rgb="FFFFCCCC"/>
                </patternFill>
              </fill>
            </x14:dxf>
          </x14:cfRule>
          <x14:cfRule type="containsText" priority="15" operator="containsText" id="{FF6D4811-653E-4FAB-8CA5-46A1709461D7}">
            <xm:f>NOT(ISERROR(SEARCH(#REF!,B67)))</xm:f>
            <xm:f>#REF!</xm:f>
            <x14:dxf>
              <font>
                <b val="0"/>
                <i val="0"/>
                <color theme="7" tint="-0.499984740745262"/>
              </font>
              <fill>
                <patternFill>
                  <bgColor theme="7" tint="0.59996337778862885"/>
                </patternFill>
              </fill>
            </x14:dxf>
          </x14:cfRule>
          <xm:sqref>B67</xm:sqref>
        </x14:conditionalFormatting>
        <x14:conditionalFormatting xmlns:xm="http://schemas.microsoft.com/office/excel/2006/main">
          <x14:cfRule type="containsText" priority="10" operator="containsText" id="{9D337F86-A90B-4519-AD6A-A63BF2B4A61B}">
            <xm:f>NOT(ISERROR(SEARCH(#REF!,B69)))</xm:f>
            <xm:f>#REF!</xm:f>
            <x14:dxf>
              <font>
                <b val="0"/>
                <i val="0"/>
                <color theme="9" tint="-0.499984740745262"/>
              </font>
              <fill>
                <patternFill>
                  <bgColor theme="9" tint="0.59996337778862885"/>
                </patternFill>
              </fill>
            </x14:dxf>
          </x14:cfRule>
          <x14:cfRule type="containsText" priority="11" operator="containsText" id="{AA0144F3-D6C1-4371-B116-2882DC16C09F}">
            <xm:f>NOT(ISERROR(SEARCH(#REF!,B69)))</xm:f>
            <xm:f>#REF!</xm:f>
            <x14:dxf>
              <font>
                <b val="0"/>
                <i val="0"/>
                <color rgb="FFC00000"/>
              </font>
              <fill>
                <patternFill>
                  <bgColor rgb="FFFFCCCC"/>
                </patternFill>
              </fill>
            </x14:dxf>
          </x14:cfRule>
          <x14:cfRule type="containsText" priority="12" operator="containsText" id="{BCC4CC3D-AC05-4EB9-BD04-80917088C1A5}">
            <xm:f>NOT(ISERROR(SEARCH(#REF!,B69)))</xm:f>
            <xm:f>#REF!</xm:f>
            <x14:dxf>
              <font>
                <b val="0"/>
                <i val="0"/>
                <color theme="7" tint="-0.499984740745262"/>
              </font>
              <fill>
                <patternFill>
                  <bgColor theme="7" tint="0.59996337778862885"/>
                </patternFill>
              </fill>
            </x14:dxf>
          </x14:cfRule>
          <xm:sqref>B69:B72</xm:sqref>
        </x14:conditionalFormatting>
        <x14:conditionalFormatting xmlns:xm="http://schemas.microsoft.com/office/excel/2006/main">
          <x14:cfRule type="containsText" priority="7" operator="containsText" id="{025F16A0-00F5-46EC-994F-E138A6147BEC}">
            <xm:f>NOT(ISERROR(SEARCH(#REF!,B73)))</xm:f>
            <xm:f>#REF!</xm:f>
            <x14:dxf>
              <font>
                <b val="0"/>
                <i val="0"/>
                <color theme="9" tint="-0.499984740745262"/>
              </font>
              <fill>
                <patternFill>
                  <bgColor theme="9" tint="0.59996337778862885"/>
                </patternFill>
              </fill>
            </x14:dxf>
          </x14:cfRule>
          <x14:cfRule type="containsText" priority="8" operator="containsText" id="{F57A9C53-1F08-4336-B972-0C682E73A841}">
            <xm:f>NOT(ISERROR(SEARCH(#REF!,B73)))</xm:f>
            <xm:f>#REF!</xm:f>
            <x14:dxf>
              <font>
                <b val="0"/>
                <i val="0"/>
                <color rgb="FFC00000"/>
              </font>
              <fill>
                <patternFill>
                  <bgColor rgb="FFFFCCCC"/>
                </patternFill>
              </fill>
            </x14:dxf>
          </x14:cfRule>
          <x14:cfRule type="containsText" priority="9" operator="containsText" id="{9202C750-9F24-483C-A3AC-B6C4F75999F2}">
            <xm:f>NOT(ISERROR(SEARCH(#REF!,B73)))</xm:f>
            <xm:f>#REF!</xm:f>
            <x14:dxf>
              <font>
                <b val="0"/>
                <i val="0"/>
                <color theme="7" tint="-0.499984740745262"/>
              </font>
              <fill>
                <patternFill>
                  <bgColor theme="7" tint="0.59996337778862885"/>
                </patternFill>
              </fill>
            </x14:dxf>
          </x14:cfRule>
          <xm:sqref>B73</xm:sqref>
        </x14:conditionalFormatting>
        <x14:conditionalFormatting xmlns:xm="http://schemas.microsoft.com/office/excel/2006/main">
          <x14:cfRule type="containsText" priority="4" operator="containsText" id="{992E0D5F-5CFE-4D13-A6B1-14CB175280BA}">
            <xm:f>NOT(ISERROR(SEARCH(#REF!,B74)))</xm:f>
            <xm:f>#REF!</xm:f>
            <x14:dxf>
              <font>
                <b val="0"/>
                <i val="0"/>
                <color theme="9" tint="-0.499984740745262"/>
              </font>
              <fill>
                <patternFill>
                  <bgColor theme="9" tint="0.59996337778862885"/>
                </patternFill>
              </fill>
            </x14:dxf>
          </x14:cfRule>
          <x14:cfRule type="containsText" priority="5" operator="containsText" id="{B7AA8F3B-89BA-441C-9208-2B5C4476C62B}">
            <xm:f>NOT(ISERROR(SEARCH(#REF!,B74)))</xm:f>
            <xm:f>#REF!</xm:f>
            <x14:dxf>
              <font>
                <b val="0"/>
                <i val="0"/>
                <color rgb="FFC00000"/>
              </font>
              <fill>
                <patternFill>
                  <bgColor rgb="FFFFCCCC"/>
                </patternFill>
              </fill>
            </x14:dxf>
          </x14:cfRule>
          <x14:cfRule type="containsText" priority="6" operator="containsText" id="{B0729362-EA05-4410-BC57-D8647DB260AC}">
            <xm:f>NOT(ISERROR(SEARCH(#REF!,B74)))</xm:f>
            <xm:f>#REF!</xm:f>
            <x14:dxf>
              <font>
                <b val="0"/>
                <i val="0"/>
                <color theme="7" tint="-0.499984740745262"/>
              </font>
              <fill>
                <patternFill>
                  <bgColor theme="7" tint="0.59996337778862885"/>
                </patternFill>
              </fill>
            </x14:dxf>
          </x14:cfRule>
          <xm:sqref>B74</xm:sqref>
        </x14:conditionalFormatting>
        <x14:conditionalFormatting xmlns:xm="http://schemas.microsoft.com/office/excel/2006/main">
          <x14:cfRule type="containsText" priority="1" operator="containsText" id="{218C1712-CC26-4FA2-8E75-91C329CFD63F}">
            <xm:f>NOT(ISERROR(SEARCH(#REF!,B82)))</xm:f>
            <xm:f>#REF!</xm:f>
            <x14:dxf>
              <font>
                <b val="0"/>
                <i val="0"/>
                <color theme="9" tint="-0.499984740745262"/>
              </font>
              <fill>
                <patternFill>
                  <bgColor theme="9" tint="0.59996337778862885"/>
                </patternFill>
              </fill>
            </x14:dxf>
          </x14:cfRule>
          <x14:cfRule type="containsText" priority="2" operator="containsText" id="{2E048D37-159B-4D5A-BBA5-15D503EE385B}">
            <xm:f>NOT(ISERROR(SEARCH(#REF!,B82)))</xm:f>
            <xm:f>#REF!</xm:f>
            <x14:dxf>
              <font>
                <b val="0"/>
                <i val="0"/>
                <color rgb="FFC00000"/>
              </font>
              <fill>
                <patternFill>
                  <bgColor rgb="FFFFCCCC"/>
                </patternFill>
              </fill>
            </x14:dxf>
          </x14:cfRule>
          <x14:cfRule type="containsText" priority="3" operator="containsText" id="{D2DAFF73-3F41-4424-96FE-A6AEC77B723D}">
            <xm:f>NOT(ISERROR(SEARCH(#REF!,B82)))</xm:f>
            <xm:f>#REF!</xm:f>
            <x14:dxf>
              <font>
                <b val="0"/>
                <i val="0"/>
                <color theme="7" tint="-0.499984740745262"/>
              </font>
              <fill>
                <patternFill>
                  <bgColor theme="7" tint="0.59996337778862885"/>
                </patternFill>
              </fill>
            </x14:dxf>
          </x14:cfRule>
          <xm:sqref>B82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Overview!$C$9:$C$12</xm:f>
          </x14:formula1>
          <xm:sqref>D2:D19 D30:D86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E15"/>
  <sheetViews>
    <sheetView workbookViewId="0">
      <selection activeCell="C3" sqref="C3"/>
    </sheetView>
  </sheetViews>
  <sheetFormatPr defaultRowHeight="14.5" x14ac:dyDescent="0.35"/>
  <cols>
    <col min="1" max="1" width="16.08984375" customWidth="1"/>
    <col min="3" max="3" width="73.453125" style="5" customWidth="1"/>
    <col min="4" max="4" width="12.90625" bestFit="1" customWidth="1"/>
    <col min="5" max="5" width="44.1796875" customWidth="1"/>
  </cols>
  <sheetData>
    <row r="1" spans="1:5" x14ac:dyDescent="0.35">
      <c r="A1" s="4" t="s">
        <v>0</v>
      </c>
      <c r="B1" s="4" t="s">
        <v>5</v>
      </c>
      <c r="C1" s="6" t="s">
        <v>187</v>
      </c>
      <c r="D1" s="4" t="s">
        <v>285</v>
      </c>
      <c r="E1" s="137" t="s">
        <v>515</v>
      </c>
    </row>
    <row r="2" spans="1:5" ht="72.5" x14ac:dyDescent="0.35">
      <c r="A2" t="s">
        <v>53</v>
      </c>
      <c r="B2" t="s">
        <v>2</v>
      </c>
      <c r="C2" s="7" t="s">
        <v>1109</v>
      </c>
    </row>
    <row r="3" spans="1:5" ht="72.5" x14ac:dyDescent="0.35">
      <c r="A3" t="s">
        <v>565</v>
      </c>
      <c r="B3" t="s">
        <v>2</v>
      </c>
      <c r="C3" s="7" t="s">
        <v>1110</v>
      </c>
    </row>
    <row r="4" spans="1:5" ht="101.5" x14ac:dyDescent="0.35">
      <c r="A4" t="s">
        <v>48</v>
      </c>
      <c r="B4" t="s">
        <v>2</v>
      </c>
      <c r="C4" s="5" t="s">
        <v>1111</v>
      </c>
    </row>
    <row r="5" spans="1:5" ht="87" x14ac:dyDescent="0.35">
      <c r="A5" t="s">
        <v>49</v>
      </c>
      <c r="B5" t="s">
        <v>2</v>
      </c>
      <c r="C5" s="7" t="s">
        <v>623</v>
      </c>
      <c r="E5" s="8"/>
    </row>
    <row r="6" spans="1:5" ht="43.5" x14ac:dyDescent="0.35">
      <c r="A6" t="s">
        <v>214</v>
      </c>
      <c r="B6" t="s">
        <v>2</v>
      </c>
      <c r="C6" s="5" t="s">
        <v>590</v>
      </c>
    </row>
    <row r="7" spans="1:5" ht="72.5" x14ac:dyDescent="0.35">
      <c r="A7" t="s">
        <v>566</v>
      </c>
      <c r="B7" t="s">
        <v>2</v>
      </c>
      <c r="C7" s="5" t="s">
        <v>591</v>
      </c>
    </row>
    <row r="8" spans="1:5" ht="116" x14ac:dyDescent="0.35">
      <c r="A8" t="s">
        <v>567</v>
      </c>
      <c r="B8" t="s">
        <v>2</v>
      </c>
      <c r="C8" s="7" t="s">
        <v>678</v>
      </c>
    </row>
    <row r="9" spans="1:5" ht="29" x14ac:dyDescent="0.35">
      <c r="A9" t="s">
        <v>568</v>
      </c>
      <c r="B9" t="s">
        <v>2</v>
      </c>
      <c r="C9" s="7" t="s">
        <v>1112</v>
      </c>
    </row>
    <row r="10" spans="1:5" ht="43.5" x14ac:dyDescent="0.35">
      <c r="A10" t="s">
        <v>51</v>
      </c>
      <c r="B10" t="s">
        <v>2</v>
      </c>
      <c r="C10" s="7" t="s">
        <v>1113</v>
      </c>
    </row>
    <row r="11" spans="1:5" ht="43.5" x14ac:dyDescent="0.35">
      <c r="A11" t="s">
        <v>52</v>
      </c>
      <c r="B11" t="s">
        <v>2</v>
      </c>
      <c r="C11" s="7" t="s">
        <v>1113</v>
      </c>
    </row>
    <row r="12" spans="1:5" ht="29" x14ac:dyDescent="0.35">
      <c r="A12" t="s">
        <v>569</v>
      </c>
      <c r="B12" t="s">
        <v>2</v>
      </c>
      <c r="C12" s="7" t="s">
        <v>1112</v>
      </c>
    </row>
    <row r="13" spans="1:5" ht="29" x14ac:dyDescent="0.35">
      <c r="A13" t="s">
        <v>570</v>
      </c>
      <c r="B13" t="s">
        <v>2</v>
      </c>
      <c r="C13" s="7" t="s">
        <v>1112</v>
      </c>
    </row>
    <row r="14" spans="1:5" x14ac:dyDescent="0.35">
      <c r="A14" t="s">
        <v>571</v>
      </c>
      <c r="B14" t="s">
        <v>1</v>
      </c>
      <c r="C14" s="5" t="s">
        <v>1107</v>
      </c>
    </row>
    <row r="15" spans="1:5" x14ac:dyDescent="0.35">
      <c r="A15" t="s">
        <v>572</v>
      </c>
      <c r="B15" t="s">
        <v>1</v>
      </c>
      <c r="C15" s="5" t="s">
        <v>1107</v>
      </c>
    </row>
  </sheetData>
  <conditionalFormatting sqref="A2:A15">
    <cfRule type="expression" dxfId="366" priority="23">
      <formula>B2="Fail"</formula>
    </cfRule>
    <cfRule type="expression" dxfId="365" priority="24">
      <formula>B2="Pending"</formula>
    </cfRule>
  </conditionalFormatting>
  <conditionalFormatting sqref="A2:A15">
    <cfRule type="expression" dxfId="364" priority="22">
      <formula>B2="Pass"</formula>
    </cfRule>
  </conditionalFormatting>
  <dataValidations count="1">
    <dataValidation type="list" allowBlank="1" showInputMessage="1" showErrorMessage="1" sqref="B2:B15" xr:uid="{00000000-0002-0000-0C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8" operator="containsText" id="{6ECC3D14-83A9-4B99-A0E5-5E02D2B6152F}">
            <xm:f>NOT(ISERROR(SEARCH(#REF!,B2)))</xm:f>
            <xm:f>#REF!</xm:f>
            <x14:dxf>
              <font>
                <b val="0"/>
                <i val="0"/>
                <color theme="9" tint="-0.499984740745262"/>
              </font>
              <fill>
                <patternFill>
                  <bgColor theme="9" tint="0.59996337778862885"/>
                </patternFill>
              </fill>
            </x14:dxf>
          </x14:cfRule>
          <x14:cfRule type="containsText" priority="29" operator="containsText" id="{8CB8FE53-F634-430E-A974-CD6EF9DD5798}">
            <xm:f>NOT(ISERROR(SEARCH(#REF!,B2)))</xm:f>
            <xm:f>#REF!</xm:f>
            <x14:dxf>
              <font>
                <b val="0"/>
                <i val="0"/>
                <color rgb="FFC00000"/>
              </font>
              <fill>
                <patternFill>
                  <bgColor rgb="FFFFCCCC"/>
                </patternFill>
              </fill>
            </x14:dxf>
          </x14:cfRule>
          <x14:cfRule type="containsText" priority="30" operator="containsText" id="{83D00B0C-F876-4063-8A6F-FD8DFB4AAD67}">
            <xm:f>NOT(ISERROR(SEARCH(#REF!,B2)))</xm:f>
            <xm:f>#REF!</xm:f>
            <x14:dxf>
              <font>
                <b val="0"/>
                <i val="0"/>
                <color theme="7" tint="-0.499984740745262"/>
              </font>
              <fill>
                <patternFill>
                  <bgColor theme="7" tint="0.59996337778862885"/>
                </patternFill>
              </fill>
            </x14:dxf>
          </x14:cfRule>
          <xm:sqref>B14 B2:B8</xm:sqref>
        </x14:conditionalFormatting>
        <x14:conditionalFormatting xmlns:xm="http://schemas.microsoft.com/office/excel/2006/main">
          <x14:cfRule type="containsText" priority="19" operator="containsText" id="{4D6BDAF3-261F-4291-BC4A-8E75ECC5EBA0}">
            <xm:f>NOT(ISERROR(SEARCH(#REF!,B9)))</xm:f>
            <xm:f>#REF!</xm:f>
            <x14:dxf>
              <font>
                <b val="0"/>
                <i val="0"/>
                <color theme="9" tint="-0.499984740745262"/>
              </font>
              <fill>
                <patternFill>
                  <bgColor theme="9" tint="0.59996337778862885"/>
                </patternFill>
              </fill>
            </x14:dxf>
          </x14:cfRule>
          <x14:cfRule type="containsText" priority="20" operator="containsText" id="{7A09A407-C23C-40F5-9302-0AD1EE45F4AC}">
            <xm:f>NOT(ISERROR(SEARCH(#REF!,B9)))</xm:f>
            <xm:f>#REF!</xm:f>
            <x14:dxf>
              <font>
                <b val="0"/>
                <i val="0"/>
                <color rgb="FFC00000"/>
              </font>
              <fill>
                <patternFill>
                  <bgColor rgb="FFFFCCCC"/>
                </patternFill>
              </fill>
            </x14:dxf>
          </x14:cfRule>
          <x14:cfRule type="containsText" priority="21" operator="containsText" id="{797C7F18-C96D-4307-BAA2-8EB47A29CAC3}">
            <xm:f>NOT(ISERROR(SEARCH(#REF!,B9)))</xm:f>
            <xm:f>#REF!</xm:f>
            <x14:dxf>
              <font>
                <b val="0"/>
                <i val="0"/>
                <color theme="7" tint="-0.499984740745262"/>
              </font>
              <fill>
                <patternFill>
                  <bgColor theme="7" tint="0.59996337778862885"/>
                </patternFill>
              </fill>
            </x14:dxf>
          </x14:cfRule>
          <xm:sqref>B9</xm:sqref>
        </x14:conditionalFormatting>
        <x14:conditionalFormatting xmlns:xm="http://schemas.microsoft.com/office/excel/2006/main">
          <x14:cfRule type="containsText" priority="16" operator="containsText" id="{2806480E-8693-4754-A897-B7C1BBEC7E0A}">
            <xm:f>NOT(ISERROR(SEARCH(#REF!,B10)))</xm:f>
            <xm:f>#REF!</xm:f>
            <x14:dxf>
              <font>
                <b val="0"/>
                <i val="0"/>
                <color theme="9" tint="-0.499984740745262"/>
              </font>
              <fill>
                <patternFill>
                  <bgColor theme="9" tint="0.59996337778862885"/>
                </patternFill>
              </fill>
            </x14:dxf>
          </x14:cfRule>
          <x14:cfRule type="containsText" priority="17" operator="containsText" id="{67893D48-F938-4904-8075-DCE65563F537}">
            <xm:f>NOT(ISERROR(SEARCH(#REF!,B10)))</xm:f>
            <xm:f>#REF!</xm:f>
            <x14:dxf>
              <font>
                <b val="0"/>
                <i val="0"/>
                <color rgb="FFC00000"/>
              </font>
              <fill>
                <patternFill>
                  <bgColor rgb="FFFFCCCC"/>
                </patternFill>
              </fill>
            </x14:dxf>
          </x14:cfRule>
          <x14:cfRule type="containsText" priority="18" operator="containsText" id="{2ACA424E-B668-486E-99B9-BB1B32CEF042}">
            <xm:f>NOT(ISERROR(SEARCH(#REF!,B10)))</xm:f>
            <xm:f>#REF!</xm:f>
            <x14:dxf>
              <font>
                <b val="0"/>
                <i val="0"/>
                <color theme="7" tint="-0.499984740745262"/>
              </font>
              <fill>
                <patternFill>
                  <bgColor theme="7" tint="0.59996337778862885"/>
                </patternFill>
              </fill>
            </x14:dxf>
          </x14:cfRule>
          <xm:sqref>B10</xm:sqref>
        </x14:conditionalFormatting>
        <x14:conditionalFormatting xmlns:xm="http://schemas.microsoft.com/office/excel/2006/main">
          <x14:cfRule type="containsText" priority="7" operator="containsText" id="{1D5410CD-379D-415E-A44B-7DB7B213E7AE}">
            <xm:f>NOT(ISERROR(SEARCH(#REF!,B12)))</xm:f>
            <xm:f>#REF!</xm:f>
            <x14:dxf>
              <font>
                <b val="0"/>
                <i val="0"/>
                <color theme="9" tint="-0.499984740745262"/>
              </font>
              <fill>
                <patternFill>
                  <bgColor theme="9" tint="0.59996337778862885"/>
                </patternFill>
              </fill>
            </x14:dxf>
          </x14:cfRule>
          <x14:cfRule type="containsText" priority="8" operator="containsText" id="{C9ABAB63-641E-4907-AE10-3ACF8E26E0D4}">
            <xm:f>NOT(ISERROR(SEARCH(#REF!,B12)))</xm:f>
            <xm:f>#REF!</xm:f>
            <x14:dxf>
              <font>
                <b val="0"/>
                <i val="0"/>
                <color rgb="FFC00000"/>
              </font>
              <fill>
                <patternFill>
                  <bgColor rgb="FFFFCCCC"/>
                </patternFill>
              </fill>
            </x14:dxf>
          </x14:cfRule>
          <x14:cfRule type="containsText" priority="9" operator="containsText" id="{FBAB94E0-A1A5-4E81-A883-A69296C01B20}">
            <xm:f>NOT(ISERROR(SEARCH(#REF!,B12)))</xm:f>
            <xm:f>#REF!</xm:f>
            <x14:dxf>
              <font>
                <b val="0"/>
                <i val="0"/>
                <color theme="7" tint="-0.499984740745262"/>
              </font>
              <fill>
                <patternFill>
                  <bgColor theme="7" tint="0.59996337778862885"/>
                </patternFill>
              </fill>
            </x14:dxf>
          </x14:cfRule>
          <xm:sqref>B12:B13</xm:sqref>
        </x14:conditionalFormatting>
        <x14:conditionalFormatting xmlns:xm="http://schemas.microsoft.com/office/excel/2006/main">
          <x14:cfRule type="containsText" priority="4" operator="containsText" id="{A36A4581-1F75-476C-83FD-42461234D895}">
            <xm:f>NOT(ISERROR(SEARCH(#REF!,B11)))</xm:f>
            <xm:f>#REF!</xm:f>
            <x14:dxf>
              <font>
                <b val="0"/>
                <i val="0"/>
                <color theme="9" tint="-0.499984740745262"/>
              </font>
              <fill>
                <patternFill>
                  <bgColor theme="9" tint="0.59996337778862885"/>
                </patternFill>
              </fill>
            </x14:dxf>
          </x14:cfRule>
          <x14:cfRule type="containsText" priority="5" operator="containsText" id="{C3759F30-96EB-433D-99B5-BE57EC27F530}">
            <xm:f>NOT(ISERROR(SEARCH(#REF!,B11)))</xm:f>
            <xm:f>#REF!</xm:f>
            <x14:dxf>
              <font>
                <b val="0"/>
                <i val="0"/>
                <color rgb="FFC00000"/>
              </font>
              <fill>
                <patternFill>
                  <bgColor rgb="FFFFCCCC"/>
                </patternFill>
              </fill>
            </x14:dxf>
          </x14:cfRule>
          <x14:cfRule type="containsText" priority="6" operator="containsText" id="{15705D7F-9B1D-41EA-A595-D2881E75EB47}">
            <xm:f>NOT(ISERROR(SEARCH(#REF!,B11)))</xm:f>
            <xm:f>#REF!</xm:f>
            <x14:dxf>
              <font>
                <b val="0"/>
                <i val="0"/>
                <color theme="7" tint="-0.499984740745262"/>
              </font>
              <fill>
                <patternFill>
                  <bgColor theme="7" tint="0.59996337778862885"/>
                </patternFill>
              </fill>
            </x14:dxf>
          </x14:cfRule>
          <xm:sqref>B11</xm:sqref>
        </x14:conditionalFormatting>
        <x14:conditionalFormatting xmlns:xm="http://schemas.microsoft.com/office/excel/2006/main">
          <x14:cfRule type="containsText" priority="1" operator="containsText" id="{B7F0CDCA-46EB-4300-82EF-AB78EA2B960F}">
            <xm:f>NOT(ISERROR(SEARCH(#REF!,B15)))</xm:f>
            <xm:f>#REF!</xm:f>
            <x14:dxf>
              <font>
                <b val="0"/>
                <i val="0"/>
                <color theme="9" tint="-0.499984740745262"/>
              </font>
              <fill>
                <patternFill>
                  <bgColor theme="9" tint="0.59996337778862885"/>
                </patternFill>
              </fill>
            </x14:dxf>
          </x14:cfRule>
          <x14:cfRule type="containsText" priority="2" operator="containsText" id="{A8541A86-75BD-4DE5-9AB3-0276260569C9}">
            <xm:f>NOT(ISERROR(SEARCH(#REF!,B15)))</xm:f>
            <xm:f>#REF!</xm:f>
            <x14:dxf>
              <font>
                <b val="0"/>
                <i val="0"/>
                <color rgb="FFC00000"/>
              </font>
              <fill>
                <patternFill>
                  <bgColor rgb="FFFFCCCC"/>
                </patternFill>
              </fill>
            </x14:dxf>
          </x14:cfRule>
          <x14:cfRule type="containsText" priority="3" operator="containsText" id="{E0588D9F-F88A-4DB7-B760-1E519D6E3DD2}">
            <xm:f>NOT(ISERROR(SEARCH(#REF!,B15)))</xm:f>
            <xm:f>#REF!</xm:f>
            <x14:dxf>
              <font>
                <b val="0"/>
                <i val="0"/>
                <color theme="7" tint="-0.499984740745262"/>
              </font>
              <fill>
                <patternFill>
                  <bgColor theme="7" tint="0.59996337778862885"/>
                </patternFill>
              </fill>
            </x14:dxf>
          </x14:cfRule>
          <xm:sqref>B15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1000000}">
          <x14:formula1>
            <xm:f>Overview!$C$9:$C$12</xm:f>
          </x14:formula1>
          <xm:sqref>D2:D13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E13"/>
  <sheetViews>
    <sheetView workbookViewId="0">
      <selection activeCell="C15" sqref="C15"/>
    </sheetView>
  </sheetViews>
  <sheetFormatPr defaultRowHeight="14.5" x14ac:dyDescent="0.35"/>
  <cols>
    <col min="1" max="1" width="11.6328125" customWidth="1"/>
    <col min="3" max="3" width="73.453125" style="5" customWidth="1"/>
    <col min="4" max="4" width="12.90625" bestFit="1" customWidth="1"/>
    <col min="5" max="5" width="44.1796875" customWidth="1"/>
  </cols>
  <sheetData>
    <row r="1" spans="1:5" x14ac:dyDescent="0.35">
      <c r="A1" s="4" t="s">
        <v>0</v>
      </c>
      <c r="B1" s="4" t="s">
        <v>5</v>
      </c>
      <c r="C1" s="6" t="s">
        <v>187</v>
      </c>
      <c r="D1" s="4" t="s">
        <v>285</v>
      </c>
      <c r="E1" s="137" t="s">
        <v>515</v>
      </c>
    </row>
    <row r="2" spans="1:5" ht="58" x14ac:dyDescent="0.35">
      <c r="A2" t="s">
        <v>205</v>
      </c>
      <c r="B2" t="s">
        <v>2</v>
      </c>
      <c r="C2" s="7" t="s">
        <v>1067</v>
      </c>
    </row>
    <row r="3" spans="1:5" x14ac:dyDescent="0.35">
      <c r="A3" t="s">
        <v>206</v>
      </c>
      <c r="B3" t="s">
        <v>1</v>
      </c>
      <c r="C3" s="7" t="s">
        <v>1068</v>
      </c>
    </row>
    <row r="4" spans="1:5" x14ac:dyDescent="0.35">
      <c r="A4" t="s">
        <v>207</v>
      </c>
      <c r="B4" t="s">
        <v>1</v>
      </c>
      <c r="C4" s="7" t="s">
        <v>1068</v>
      </c>
    </row>
    <row r="5" spans="1:5" x14ac:dyDescent="0.35">
      <c r="A5" t="s">
        <v>208</v>
      </c>
      <c r="B5" t="s">
        <v>1</v>
      </c>
      <c r="C5" s="7" t="s">
        <v>1068</v>
      </c>
      <c r="E5" s="8"/>
    </row>
    <row r="6" spans="1:5" x14ac:dyDescent="0.35">
      <c r="A6" t="s">
        <v>573</v>
      </c>
      <c r="B6" t="s">
        <v>1</v>
      </c>
      <c r="C6" s="7" t="s">
        <v>1068</v>
      </c>
    </row>
    <row r="7" spans="1:5" x14ac:dyDescent="0.35">
      <c r="A7" t="s">
        <v>209</v>
      </c>
      <c r="B7" t="s">
        <v>1</v>
      </c>
      <c r="C7" s="7" t="s">
        <v>1069</v>
      </c>
    </row>
    <row r="8" spans="1:5" x14ac:dyDescent="0.35">
      <c r="A8" t="s">
        <v>210</v>
      </c>
      <c r="B8" t="s">
        <v>1</v>
      </c>
      <c r="C8" s="7" t="s">
        <v>1068</v>
      </c>
    </row>
    <row r="9" spans="1:5" x14ac:dyDescent="0.35">
      <c r="A9" t="s">
        <v>49</v>
      </c>
      <c r="B9" t="s">
        <v>1</v>
      </c>
      <c r="C9" s="7" t="s">
        <v>1068</v>
      </c>
    </row>
    <row r="10" spans="1:5" x14ac:dyDescent="0.35">
      <c r="A10" t="s">
        <v>211</v>
      </c>
      <c r="B10" t="s">
        <v>1</v>
      </c>
      <c r="C10" s="7" t="s">
        <v>1068</v>
      </c>
    </row>
    <row r="11" spans="1:5" x14ac:dyDescent="0.35">
      <c r="A11" t="s">
        <v>212</v>
      </c>
      <c r="B11" t="s">
        <v>1</v>
      </c>
      <c r="C11" s="7" t="s">
        <v>1068</v>
      </c>
    </row>
    <row r="12" spans="1:5" x14ac:dyDescent="0.35">
      <c r="A12" t="s">
        <v>213</v>
      </c>
      <c r="B12" t="s">
        <v>1</v>
      </c>
      <c r="C12" s="7" t="s">
        <v>1068</v>
      </c>
    </row>
    <row r="13" spans="1:5" x14ac:dyDescent="0.35">
      <c r="A13" t="s">
        <v>50</v>
      </c>
      <c r="B13" t="s">
        <v>1</v>
      </c>
      <c r="C13" s="7" t="s">
        <v>1070</v>
      </c>
    </row>
  </sheetData>
  <conditionalFormatting sqref="A2:A13">
    <cfRule type="expression" dxfId="343" priority="8">
      <formula>B2="Fail"</formula>
    </cfRule>
    <cfRule type="expression" dxfId="342" priority="9">
      <formula>B2="Pending"</formula>
    </cfRule>
  </conditionalFormatting>
  <conditionalFormatting sqref="A2:A13">
    <cfRule type="expression" dxfId="341" priority="7">
      <formula>B2="Pass"</formula>
    </cfRule>
  </conditionalFormatting>
  <dataValidations count="1">
    <dataValidation type="list" allowBlank="1" showInputMessage="1" showErrorMessage="1" sqref="B2:B13" xr:uid="{00000000-0002-0000-0D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 operator="containsText" id="{09F44F69-D47F-4F53-A26D-7B00BA4A5058}">
            <xm:f>NOT(ISERROR(SEARCH(#REF!,B2)))</xm:f>
            <xm:f>#REF!</xm:f>
            <x14:dxf>
              <font>
                <b val="0"/>
                <i val="0"/>
                <color theme="9" tint="-0.499984740745262"/>
              </font>
              <fill>
                <patternFill>
                  <bgColor theme="9" tint="0.59996337778862885"/>
                </patternFill>
              </fill>
            </x14:dxf>
          </x14:cfRule>
          <x14:cfRule type="containsText" priority="11" operator="containsText" id="{52EA4B3C-44A2-4E42-958B-6E72757EFB3A}">
            <xm:f>NOT(ISERROR(SEARCH(#REF!,B2)))</xm:f>
            <xm:f>#REF!</xm:f>
            <x14:dxf>
              <font>
                <b val="0"/>
                <i val="0"/>
                <color rgb="FFC00000"/>
              </font>
              <fill>
                <patternFill>
                  <bgColor rgb="FFFFCCCC"/>
                </patternFill>
              </fill>
            </x14:dxf>
          </x14:cfRule>
          <x14:cfRule type="containsText" priority="12" operator="containsText" id="{E84E04B9-9F63-4AD6-8970-3DCCA6D6D283}">
            <xm:f>NOT(ISERROR(SEARCH(#REF!,B2)))</xm:f>
            <xm:f>#REF!</xm:f>
            <x14:dxf>
              <font>
                <b val="0"/>
                <i val="0"/>
                <color theme="7" tint="-0.499984740745262"/>
              </font>
              <fill>
                <patternFill>
                  <bgColor theme="7" tint="0.59996337778862885"/>
                </patternFill>
              </fill>
            </x14:dxf>
          </x14:cfRule>
          <xm:sqref>B2:B3</xm:sqref>
        </x14:conditionalFormatting>
        <x14:conditionalFormatting xmlns:xm="http://schemas.microsoft.com/office/excel/2006/main">
          <x14:cfRule type="containsText" priority="4" operator="containsText" id="{011B3F48-A34F-4B9E-9383-BB7733B82912}">
            <xm:f>NOT(ISERROR(SEARCH(#REF!,B4)))</xm:f>
            <xm:f>#REF!</xm:f>
            <x14:dxf>
              <font>
                <b val="0"/>
                <i val="0"/>
                <color theme="9" tint="-0.499984740745262"/>
              </font>
              <fill>
                <patternFill>
                  <bgColor theme="9" tint="0.59996337778862885"/>
                </patternFill>
              </fill>
            </x14:dxf>
          </x14:cfRule>
          <x14:cfRule type="containsText" priority="5" operator="containsText" id="{B41E0798-6F70-4481-A46A-A39A7A104046}">
            <xm:f>NOT(ISERROR(SEARCH(#REF!,B4)))</xm:f>
            <xm:f>#REF!</xm:f>
            <x14:dxf>
              <font>
                <b val="0"/>
                <i val="0"/>
                <color rgb="FFC00000"/>
              </font>
              <fill>
                <patternFill>
                  <bgColor rgb="FFFFCCCC"/>
                </patternFill>
              </fill>
            </x14:dxf>
          </x14:cfRule>
          <x14:cfRule type="containsText" priority="6" operator="containsText" id="{B78588A0-578F-4D6E-8DDF-5F30F344B272}">
            <xm:f>NOT(ISERROR(SEARCH(#REF!,B4)))</xm:f>
            <xm:f>#REF!</xm:f>
            <x14:dxf>
              <font>
                <b val="0"/>
                <i val="0"/>
                <color theme="7" tint="-0.499984740745262"/>
              </font>
              <fill>
                <patternFill>
                  <bgColor theme="7" tint="0.59996337778862885"/>
                </patternFill>
              </fill>
            </x14:dxf>
          </x14:cfRule>
          <xm:sqref>B4:B10</xm:sqref>
        </x14:conditionalFormatting>
        <x14:conditionalFormatting xmlns:xm="http://schemas.microsoft.com/office/excel/2006/main">
          <x14:cfRule type="containsText" priority="1" operator="containsText" id="{345C3335-08DB-4BF7-AE10-7B7A0B8E70D4}">
            <xm:f>NOT(ISERROR(SEARCH(#REF!,B11)))</xm:f>
            <xm:f>#REF!</xm:f>
            <x14:dxf>
              <font>
                <b val="0"/>
                <i val="0"/>
                <color theme="9" tint="-0.499984740745262"/>
              </font>
              <fill>
                <patternFill>
                  <bgColor theme="9" tint="0.59996337778862885"/>
                </patternFill>
              </fill>
            </x14:dxf>
          </x14:cfRule>
          <x14:cfRule type="containsText" priority="2" operator="containsText" id="{357EEDA4-1DD7-48C9-A98E-BE7D512CEA02}">
            <xm:f>NOT(ISERROR(SEARCH(#REF!,B11)))</xm:f>
            <xm:f>#REF!</xm:f>
            <x14:dxf>
              <font>
                <b val="0"/>
                <i val="0"/>
                <color rgb="FFC00000"/>
              </font>
              <fill>
                <patternFill>
                  <bgColor rgb="FFFFCCCC"/>
                </patternFill>
              </fill>
            </x14:dxf>
          </x14:cfRule>
          <x14:cfRule type="containsText" priority="3" operator="containsText" id="{C8B397F8-C131-44BE-9A7F-C4836665B25D}">
            <xm:f>NOT(ISERROR(SEARCH(#REF!,B11)))</xm:f>
            <xm:f>#REF!</xm:f>
            <x14:dxf>
              <font>
                <b val="0"/>
                <i val="0"/>
                <color theme="7" tint="-0.499984740745262"/>
              </font>
              <fill>
                <patternFill>
                  <bgColor theme="7" tint="0.59996337778862885"/>
                </patternFill>
              </fill>
            </x14:dxf>
          </x14:cfRule>
          <xm:sqref>B11:B13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1000000}">
          <x14:formula1>
            <xm:f>Overview!$C$9:$C$12</xm:f>
          </x14:formula1>
          <xm:sqref>D2:D9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I9"/>
  <sheetViews>
    <sheetView workbookViewId="0">
      <selection activeCell="C3" sqref="C3"/>
    </sheetView>
  </sheetViews>
  <sheetFormatPr defaultRowHeight="14.5" x14ac:dyDescent="0.35"/>
  <cols>
    <col min="1" max="1" width="11" customWidth="1"/>
    <col min="3" max="3" width="73.453125" style="5" customWidth="1"/>
    <col min="4" max="4" width="12.90625" bestFit="1" customWidth="1"/>
    <col min="5" max="5" width="44.1796875" customWidth="1"/>
    <col min="6" max="6" width="30" customWidth="1"/>
    <col min="7" max="7" width="12.453125" customWidth="1"/>
    <col min="8" max="8" width="15" customWidth="1"/>
    <col min="9" max="9" width="19" customWidth="1"/>
  </cols>
  <sheetData>
    <row r="1" spans="1:9" ht="14.4" customHeight="1" x14ac:dyDescent="0.35">
      <c r="A1" s="4" t="s">
        <v>0</v>
      </c>
      <c r="B1" s="4" t="s">
        <v>5</v>
      </c>
      <c r="C1" s="6" t="s">
        <v>187</v>
      </c>
      <c r="D1" s="4" t="s">
        <v>285</v>
      </c>
      <c r="E1" s="137" t="s">
        <v>515</v>
      </c>
    </row>
    <row r="2" spans="1:9" ht="174" x14ac:dyDescent="0.35">
      <c r="A2" t="s">
        <v>56</v>
      </c>
      <c r="B2" t="s">
        <v>2</v>
      </c>
      <c r="C2" s="7" t="s">
        <v>643</v>
      </c>
    </row>
    <row r="3" spans="1:9" ht="174" x14ac:dyDescent="0.35">
      <c r="A3" t="s">
        <v>54</v>
      </c>
      <c r="B3" t="s">
        <v>2</v>
      </c>
      <c r="C3" s="7" t="s">
        <v>644</v>
      </c>
    </row>
    <row r="4" spans="1:9" ht="304.5" x14ac:dyDescent="0.35">
      <c r="A4" t="s">
        <v>55</v>
      </c>
      <c r="B4" t="s">
        <v>2</v>
      </c>
      <c r="C4" s="5" t="s">
        <v>587</v>
      </c>
    </row>
    <row r="5" spans="1:9" ht="43.5" x14ac:dyDescent="0.35">
      <c r="A5" t="s">
        <v>155</v>
      </c>
      <c r="B5" t="s">
        <v>1</v>
      </c>
      <c r="C5" s="7" t="s">
        <v>1114</v>
      </c>
      <c r="E5" s="8"/>
      <c r="F5" s="8"/>
      <c r="G5" s="8"/>
      <c r="H5" s="8"/>
      <c r="I5" s="8"/>
    </row>
    <row r="6" spans="1:9" x14ac:dyDescent="0.35">
      <c r="A6" t="s">
        <v>511</v>
      </c>
      <c r="B6" t="s">
        <v>1</v>
      </c>
      <c r="C6" s="5" t="s">
        <v>1068</v>
      </c>
    </row>
    <row r="7" spans="1:9" x14ac:dyDescent="0.35">
      <c r="A7" t="s">
        <v>512</v>
      </c>
      <c r="B7" t="s">
        <v>1</v>
      </c>
      <c r="C7" s="5" t="s">
        <v>1068</v>
      </c>
    </row>
    <row r="8" spans="1:9" x14ac:dyDescent="0.35">
      <c r="A8" t="s">
        <v>513</v>
      </c>
      <c r="B8" t="s">
        <v>1</v>
      </c>
      <c r="C8" s="5" t="s">
        <v>1068</v>
      </c>
    </row>
    <row r="9" spans="1:9" x14ac:dyDescent="0.35">
      <c r="A9" t="s">
        <v>514</v>
      </c>
      <c r="B9" t="s">
        <v>1</v>
      </c>
      <c r="C9" s="5" t="s">
        <v>1068</v>
      </c>
    </row>
  </sheetData>
  <conditionalFormatting sqref="A2:A9">
    <cfRule type="expression" dxfId="329" priority="11">
      <formula>B2="Fail"</formula>
    </cfRule>
    <cfRule type="expression" dxfId="328" priority="12">
      <formula>B2="Pending"</formula>
    </cfRule>
  </conditionalFormatting>
  <conditionalFormatting sqref="A2:A9">
    <cfRule type="expression" dxfId="327" priority="10">
      <formula>B2="Pass"</formula>
    </cfRule>
  </conditionalFormatting>
  <dataValidations count="1">
    <dataValidation type="list" allowBlank="1" showInputMessage="1" showErrorMessage="1" sqref="B2:B9" xr:uid="{00000000-0002-0000-0E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3" operator="containsText" id="{9D73587E-1630-48A6-B4E8-C52454190CC0}">
            <xm:f>NOT(ISERROR(SEARCH(#REF!,B2)))</xm:f>
            <xm:f>#REF!</xm:f>
            <x14:dxf>
              <font>
                <b val="0"/>
                <i val="0"/>
                <color theme="9" tint="-0.499984740745262"/>
              </font>
              <fill>
                <patternFill>
                  <bgColor theme="9" tint="0.59996337778862885"/>
                </patternFill>
              </fill>
            </x14:dxf>
          </x14:cfRule>
          <x14:cfRule type="containsText" priority="14" operator="containsText" id="{7FA055C4-4BDB-41F5-94EE-402CF6701172}">
            <xm:f>NOT(ISERROR(SEARCH(#REF!,B2)))</xm:f>
            <xm:f>#REF!</xm:f>
            <x14:dxf>
              <font>
                <b val="0"/>
                <i val="0"/>
                <color rgb="FFC00000"/>
              </font>
              <fill>
                <patternFill>
                  <bgColor rgb="FFFFCCCC"/>
                </patternFill>
              </fill>
            </x14:dxf>
          </x14:cfRule>
          <x14:cfRule type="containsText" priority="15" operator="containsText" id="{6CF14C55-2574-43A5-94C7-5481EEC72C73}">
            <xm:f>NOT(ISERROR(SEARCH(#REF!,B2)))</xm:f>
            <xm:f>#REF!</xm:f>
            <x14:dxf>
              <font>
                <b val="0"/>
                <i val="0"/>
                <color theme="7" tint="-0.499984740745262"/>
              </font>
              <fill>
                <patternFill>
                  <bgColor theme="7" tint="0.59996337778862885"/>
                </patternFill>
              </fill>
            </x14:dxf>
          </x14:cfRule>
          <xm:sqref>B2:B6</xm:sqref>
        </x14:conditionalFormatting>
        <x14:conditionalFormatting xmlns:xm="http://schemas.microsoft.com/office/excel/2006/main">
          <x14:cfRule type="containsText" priority="7" operator="containsText" id="{690D6D04-8BEF-453F-9FEA-EC8A0AAAF442}">
            <xm:f>NOT(ISERROR(SEARCH(#REF!,B7)))</xm:f>
            <xm:f>#REF!</xm:f>
            <x14:dxf>
              <font>
                <b val="0"/>
                <i val="0"/>
                <color theme="9" tint="-0.499984740745262"/>
              </font>
              <fill>
                <patternFill>
                  <bgColor theme="9" tint="0.59996337778862885"/>
                </patternFill>
              </fill>
            </x14:dxf>
          </x14:cfRule>
          <x14:cfRule type="containsText" priority="8" operator="containsText" id="{75B7C9AE-74B5-4C8C-9785-44BCB5D211D1}">
            <xm:f>NOT(ISERROR(SEARCH(#REF!,B7)))</xm:f>
            <xm:f>#REF!</xm:f>
            <x14:dxf>
              <font>
                <b val="0"/>
                <i val="0"/>
                <color rgb="FFC00000"/>
              </font>
              <fill>
                <patternFill>
                  <bgColor rgb="FFFFCCCC"/>
                </patternFill>
              </fill>
            </x14:dxf>
          </x14:cfRule>
          <x14:cfRule type="containsText" priority="9" operator="containsText" id="{70CD18E9-4D70-46B5-92CE-BBFB66F30969}">
            <xm:f>NOT(ISERROR(SEARCH(#REF!,B7)))</xm:f>
            <xm:f>#REF!</xm:f>
            <x14:dxf>
              <font>
                <b val="0"/>
                <i val="0"/>
                <color theme="7" tint="-0.499984740745262"/>
              </font>
              <fill>
                <patternFill>
                  <bgColor theme="7" tint="0.59996337778862885"/>
                </patternFill>
              </fill>
            </x14:dxf>
          </x14:cfRule>
          <xm:sqref>B7</xm:sqref>
        </x14:conditionalFormatting>
        <x14:conditionalFormatting xmlns:xm="http://schemas.microsoft.com/office/excel/2006/main">
          <x14:cfRule type="containsText" priority="4" operator="containsText" id="{761E1F69-F9C6-4F5C-9C1C-0387B8563E3C}">
            <xm:f>NOT(ISERROR(SEARCH(#REF!,B8)))</xm:f>
            <xm:f>#REF!</xm:f>
            <x14:dxf>
              <font>
                <b val="0"/>
                <i val="0"/>
                <color theme="9" tint="-0.499984740745262"/>
              </font>
              <fill>
                <patternFill>
                  <bgColor theme="9" tint="0.59996337778862885"/>
                </patternFill>
              </fill>
            </x14:dxf>
          </x14:cfRule>
          <x14:cfRule type="containsText" priority="5" operator="containsText" id="{5CA96949-C6D0-4179-A318-ADD5BAF7D3F1}">
            <xm:f>NOT(ISERROR(SEARCH(#REF!,B8)))</xm:f>
            <xm:f>#REF!</xm:f>
            <x14:dxf>
              <font>
                <b val="0"/>
                <i val="0"/>
                <color rgb="FFC00000"/>
              </font>
              <fill>
                <patternFill>
                  <bgColor rgb="FFFFCCCC"/>
                </patternFill>
              </fill>
            </x14:dxf>
          </x14:cfRule>
          <x14:cfRule type="containsText" priority="6" operator="containsText" id="{8C97E0D8-1A99-4740-8346-E57CB378457D}">
            <xm:f>NOT(ISERROR(SEARCH(#REF!,B8)))</xm:f>
            <xm:f>#REF!</xm:f>
            <x14:dxf>
              <font>
                <b val="0"/>
                <i val="0"/>
                <color theme="7" tint="-0.499984740745262"/>
              </font>
              <fill>
                <patternFill>
                  <bgColor theme="7" tint="0.59996337778862885"/>
                </patternFill>
              </fill>
            </x14:dxf>
          </x14:cfRule>
          <xm:sqref>B8</xm:sqref>
        </x14:conditionalFormatting>
        <x14:conditionalFormatting xmlns:xm="http://schemas.microsoft.com/office/excel/2006/main">
          <x14:cfRule type="containsText" priority="1" operator="containsText" id="{8D2D3445-E48B-4331-9D9E-498B8569AF25}">
            <xm:f>NOT(ISERROR(SEARCH(#REF!,B9)))</xm:f>
            <xm:f>#REF!</xm:f>
            <x14:dxf>
              <font>
                <b val="0"/>
                <i val="0"/>
                <color theme="9" tint="-0.499984740745262"/>
              </font>
              <fill>
                <patternFill>
                  <bgColor theme="9" tint="0.59996337778862885"/>
                </patternFill>
              </fill>
            </x14:dxf>
          </x14:cfRule>
          <x14:cfRule type="containsText" priority="2" operator="containsText" id="{336B04B3-7D5F-412E-89E2-01F1A6D7F932}">
            <xm:f>NOT(ISERROR(SEARCH(#REF!,B9)))</xm:f>
            <xm:f>#REF!</xm:f>
            <x14:dxf>
              <font>
                <b val="0"/>
                <i val="0"/>
                <color rgb="FFC00000"/>
              </font>
              <fill>
                <patternFill>
                  <bgColor rgb="FFFFCCCC"/>
                </patternFill>
              </fill>
            </x14:dxf>
          </x14:cfRule>
          <x14:cfRule type="containsText" priority="3" operator="containsText" id="{0266B82A-0C90-485B-A479-BA35810E4A66}">
            <xm:f>NOT(ISERROR(SEARCH(#REF!,B9)))</xm:f>
            <xm:f>#REF!</xm:f>
            <x14:dxf>
              <font>
                <b val="0"/>
                <i val="0"/>
                <color theme="7" tint="-0.499984740745262"/>
              </font>
              <fill>
                <patternFill>
                  <bgColor theme="7" tint="0.59996337778862885"/>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Overview!$C$9:$C$12</xm:f>
          </x14:formula1>
          <xm:sqref>D2:D9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G61"/>
  <sheetViews>
    <sheetView workbookViewId="0">
      <selection activeCell="G16" sqref="G16"/>
    </sheetView>
  </sheetViews>
  <sheetFormatPr defaultRowHeight="14.5" x14ac:dyDescent="0.35"/>
  <cols>
    <col min="1" max="1" width="29.1796875" customWidth="1"/>
    <col min="3" max="3" width="73.453125" style="5" customWidth="1"/>
    <col min="4" max="4" width="12.90625" bestFit="1" customWidth="1"/>
    <col min="5" max="5" width="44.1796875" customWidth="1"/>
  </cols>
  <sheetData>
    <row r="1" spans="1:7" x14ac:dyDescent="0.35">
      <c r="A1" s="1" t="s">
        <v>1</v>
      </c>
      <c r="B1">
        <f>COUNTIF(Table21012[Result],"Pass")</f>
        <v>56</v>
      </c>
    </row>
    <row r="2" spans="1:7" x14ac:dyDescent="0.35">
      <c r="A2" s="2" t="s">
        <v>2</v>
      </c>
      <c r="B2">
        <f>COUNTIF(Table21012[Result],"Fail")</f>
        <v>0</v>
      </c>
    </row>
    <row r="3" spans="1:7" x14ac:dyDescent="0.35">
      <c r="A3" s="3" t="s">
        <v>3</v>
      </c>
      <c r="B3">
        <f>COUNTIF(Table21012[Result],"Pending")</f>
        <v>0</v>
      </c>
    </row>
    <row r="4" spans="1:7" x14ac:dyDescent="0.35">
      <c r="A4" t="s">
        <v>4</v>
      </c>
      <c r="B4">
        <f>COUNTA(Table21012[Result])</f>
        <v>56</v>
      </c>
    </row>
    <row r="5" spans="1:7" x14ac:dyDescent="0.35">
      <c r="A5" s="4" t="s">
        <v>0</v>
      </c>
      <c r="B5" s="4" t="s">
        <v>5</v>
      </c>
      <c r="C5" s="6" t="s">
        <v>187</v>
      </c>
      <c r="D5" s="4" t="s">
        <v>285</v>
      </c>
      <c r="E5" s="137" t="s">
        <v>515</v>
      </c>
    </row>
    <row r="6" spans="1:7" ht="29" x14ac:dyDescent="0.35">
      <c r="A6" t="s">
        <v>180</v>
      </c>
      <c r="B6" t="s">
        <v>1</v>
      </c>
      <c r="C6" s="7" t="s">
        <v>1165</v>
      </c>
    </row>
    <row r="7" spans="1:7" ht="29" x14ac:dyDescent="0.35">
      <c r="A7" t="s">
        <v>181</v>
      </c>
      <c r="B7" t="s">
        <v>1</v>
      </c>
      <c r="C7" s="7" t="s">
        <v>1165</v>
      </c>
    </row>
    <row r="8" spans="1:7" ht="29" x14ac:dyDescent="0.35">
      <c r="A8" t="s">
        <v>182</v>
      </c>
      <c r="B8" t="s">
        <v>1</v>
      </c>
      <c r="C8" s="7" t="s">
        <v>1165</v>
      </c>
    </row>
    <row r="9" spans="1:7" x14ac:dyDescent="0.35">
      <c r="A9" t="s">
        <v>183</v>
      </c>
      <c r="B9" t="s">
        <v>1</v>
      </c>
      <c r="C9" s="7" t="s">
        <v>1160</v>
      </c>
    </row>
    <row r="10" spans="1:7" ht="29" x14ac:dyDescent="0.35">
      <c r="A10" t="s">
        <v>184</v>
      </c>
      <c r="B10" t="s">
        <v>1</v>
      </c>
      <c r="C10" s="7" t="s">
        <v>1165</v>
      </c>
    </row>
    <row r="11" spans="1:7" ht="43.5" x14ac:dyDescent="0.35">
      <c r="A11" t="s">
        <v>185</v>
      </c>
      <c r="B11" t="s">
        <v>1</v>
      </c>
      <c r="C11" s="7" t="s">
        <v>1166</v>
      </c>
    </row>
    <row r="12" spans="1:7" x14ac:dyDescent="0.35">
      <c r="A12" t="s">
        <v>186</v>
      </c>
      <c r="B12" t="s">
        <v>1</v>
      </c>
      <c r="C12" s="7" t="s">
        <v>1160</v>
      </c>
    </row>
    <row r="13" spans="1:7" x14ac:dyDescent="0.35">
      <c r="A13" t="s">
        <v>160</v>
      </c>
      <c r="B13" t="s">
        <v>1</v>
      </c>
      <c r="C13" s="7" t="s">
        <v>1160</v>
      </c>
      <c r="G13" s="121"/>
    </row>
    <row r="14" spans="1:7" ht="43.5" x14ac:dyDescent="0.35">
      <c r="A14" t="s">
        <v>164</v>
      </c>
      <c r="B14" t="s">
        <v>1</v>
      </c>
      <c r="C14" s="7" t="s">
        <v>1167</v>
      </c>
    </row>
    <row r="15" spans="1:7" x14ac:dyDescent="0.35">
      <c r="A15" t="s">
        <v>169</v>
      </c>
      <c r="B15" t="s">
        <v>1</v>
      </c>
      <c r="C15" s="7" t="s">
        <v>1160</v>
      </c>
    </row>
    <row r="16" spans="1:7" ht="43.5" x14ac:dyDescent="0.35">
      <c r="A16" t="s">
        <v>174</v>
      </c>
      <c r="B16" t="s">
        <v>1</v>
      </c>
      <c r="C16" s="7" t="s">
        <v>1167</v>
      </c>
    </row>
    <row r="17" spans="1:7" ht="43.5" x14ac:dyDescent="0.35">
      <c r="A17" t="s">
        <v>175</v>
      </c>
      <c r="B17" t="s">
        <v>1</v>
      </c>
      <c r="C17" s="7" t="s">
        <v>1167</v>
      </c>
    </row>
    <row r="18" spans="1:7" x14ac:dyDescent="0.35">
      <c r="A18" t="s">
        <v>179</v>
      </c>
      <c r="B18" t="s">
        <v>1</v>
      </c>
      <c r="C18" s="5" t="s">
        <v>1161</v>
      </c>
    </row>
    <row r="19" spans="1:7" x14ac:dyDescent="0.35">
      <c r="A19" t="s">
        <v>593</v>
      </c>
      <c r="B19" t="s">
        <v>1</v>
      </c>
      <c r="C19" s="7" t="s">
        <v>1157</v>
      </c>
    </row>
    <row r="20" spans="1:7" x14ac:dyDescent="0.35">
      <c r="A20" t="s">
        <v>8</v>
      </c>
      <c r="B20" t="s">
        <v>1</v>
      </c>
      <c r="C20" s="7" t="s">
        <v>1157</v>
      </c>
    </row>
    <row r="21" spans="1:7" x14ac:dyDescent="0.35">
      <c r="A21" t="s">
        <v>594</v>
      </c>
      <c r="B21" t="s">
        <v>1</v>
      </c>
      <c r="C21" s="7" t="s">
        <v>1157</v>
      </c>
    </row>
    <row r="22" spans="1:7" x14ac:dyDescent="0.35">
      <c r="A22" t="s">
        <v>595</v>
      </c>
      <c r="B22" t="s">
        <v>1</v>
      </c>
      <c r="C22" s="7" t="s">
        <v>1157</v>
      </c>
      <c r="E22" s="8"/>
    </row>
    <row r="23" spans="1:7" x14ac:dyDescent="0.35">
      <c r="A23" t="s">
        <v>188</v>
      </c>
      <c r="B23" t="s">
        <v>1</v>
      </c>
      <c r="C23" s="7" t="s">
        <v>1157</v>
      </c>
    </row>
    <row r="24" spans="1:7" x14ac:dyDescent="0.35">
      <c r="A24" t="s">
        <v>193</v>
      </c>
      <c r="B24" t="s">
        <v>1</v>
      </c>
      <c r="C24" s="7" t="s">
        <v>1157</v>
      </c>
    </row>
    <row r="25" spans="1:7" x14ac:dyDescent="0.35">
      <c r="A25" t="s">
        <v>194</v>
      </c>
      <c r="B25" t="s">
        <v>1</v>
      </c>
      <c r="C25" s="7" t="s">
        <v>1157</v>
      </c>
    </row>
    <row r="26" spans="1:7" x14ac:dyDescent="0.35">
      <c r="A26" t="s">
        <v>202</v>
      </c>
      <c r="B26" t="s">
        <v>1</v>
      </c>
      <c r="C26" s="7" t="s">
        <v>1157</v>
      </c>
    </row>
    <row r="27" spans="1:7" x14ac:dyDescent="0.35">
      <c r="A27" t="s">
        <v>677</v>
      </c>
      <c r="B27" t="s">
        <v>1</v>
      </c>
      <c r="C27" s="7" t="s">
        <v>1157</v>
      </c>
      <c r="G27" s="5"/>
    </row>
    <row r="28" spans="1:7" x14ac:dyDescent="0.35">
      <c r="A28" t="s">
        <v>521</v>
      </c>
      <c r="B28" t="s">
        <v>1</v>
      </c>
      <c r="C28" s="7" t="s">
        <v>1160</v>
      </c>
    </row>
    <row r="29" spans="1:7" x14ac:dyDescent="0.35">
      <c r="A29" t="s">
        <v>522</v>
      </c>
      <c r="B29" t="s">
        <v>1</v>
      </c>
      <c r="C29" s="7" t="s">
        <v>1160</v>
      </c>
    </row>
    <row r="30" spans="1:7" ht="29" x14ac:dyDescent="0.35">
      <c r="A30" t="s">
        <v>18</v>
      </c>
      <c r="B30" t="s">
        <v>1</v>
      </c>
      <c r="C30" s="7" t="s">
        <v>1165</v>
      </c>
    </row>
    <row r="31" spans="1:7" ht="29" x14ac:dyDescent="0.35">
      <c r="A31" t="s">
        <v>529</v>
      </c>
      <c r="B31" t="s">
        <v>1</v>
      </c>
      <c r="C31" s="7" t="s">
        <v>1165</v>
      </c>
    </row>
    <row r="32" spans="1:7" ht="29" x14ac:dyDescent="0.35">
      <c r="A32" t="s">
        <v>532</v>
      </c>
      <c r="B32" t="s">
        <v>1</v>
      </c>
      <c r="C32" s="7" t="s">
        <v>1165</v>
      </c>
    </row>
    <row r="33" spans="1:3" ht="29" x14ac:dyDescent="0.35">
      <c r="A33" t="s">
        <v>25</v>
      </c>
      <c r="B33" t="s">
        <v>1</v>
      </c>
      <c r="C33" s="7" t="s">
        <v>1165</v>
      </c>
    </row>
    <row r="34" spans="1:3" ht="29" x14ac:dyDescent="0.35">
      <c r="A34" t="s">
        <v>534</v>
      </c>
      <c r="B34" t="s">
        <v>1</v>
      </c>
      <c r="C34" s="7" t="s">
        <v>1165</v>
      </c>
    </row>
    <row r="35" spans="1:3" x14ac:dyDescent="0.35">
      <c r="A35" t="s">
        <v>536</v>
      </c>
      <c r="B35" t="s">
        <v>1</v>
      </c>
      <c r="C35" s="7" t="s">
        <v>1160</v>
      </c>
    </row>
    <row r="36" spans="1:3" x14ac:dyDescent="0.35">
      <c r="A36" t="s">
        <v>57</v>
      </c>
      <c r="B36" t="s">
        <v>1</v>
      </c>
      <c r="C36" s="7" t="s">
        <v>1160</v>
      </c>
    </row>
    <row r="37" spans="1:3" x14ac:dyDescent="0.35">
      <c r="A37" t="s">
        <v>537</v>
      </c>
      <c r="B37" t="s">
        <v>1</v>
      </c>
      <c r="C37" s="7" t="s">
        <v>1160</v>
      </c>
    </row>
    <row r="38" spans="1:3" x14ac:dyDescent="0.35">
      <c r="A38" t="s">
        <v>539</v>
      </c>
      <c r="B38" t="s">
        <v>1</v>
      </c>
      <c r="C38" s="7" t="s">
        <v>1160</v>
      </c>
    </row>
    <row r="39" spans="1:3" x14ac:dyDescent="0.35">
      <c r="A39" t="s">
        <v>542</v>
      </c>
      <c r="B39" t="s">
        <v>1</v>
      </c>
      <c r="C39" s="7" t="s">
        <v>1160</v>
      </c>
    </row>
    <row r="40" spans="1:3" x14ac:dyDescent="0.35">
      <c r="A40" t="s">
        <v>546</v>
      </c>
      <c r="B40" t="s">
        <v>1</v>
      </c>
      <c r="C40" s="7" t="s">
        <v>1160</v>
      </c>
    </row>
    <row r="41" spans="1:3" x14ac:dyDescent="0.35">
      <c r="A41" t="s">
        <v>547</v>
      </c>
      <c r="B41" t="s">
        <v>1</v>
      </c>
      <c r="C41" s="7" t="s">
        <v>1160</v>
      </c>
    </row>
    <row r="42" spans="1:3" x14ac:dyDescent="0.35">
      <c r="A42" t="s">
        <v>35</v>
      </c>
      <c r="B42" t="s">
        <v>1</v>
      </c>
      <c r="C42" s="7" t="s">
        <v>1160</v>
      </c>
    </row>
    <row r="43" spans="1:3" x14ac:dyDescent="0.35">
      <c r="A43" t="s">
        <v>551</v>
      </c>
      <c r="B43" t="s">
        <v>1</v>
      </c>
      <c r="C43" s="7" t="s">
        <v>1160</v>
      </c>
    </row>
    <row r="44" spans="1:3" x14ac:dyDescent="0.35">
      <c r="A44" t="s">
        <v>37</v>
      </c>
      <c r="B44" t="s">
        <v>1</v>
      </c>
      <c r="C44" s="7" t="s">
        <v>1160</v>
      </c>
    </row>
    <row r="45" spans="1:3" x14ac:dyDescent="0.35">
      <c r="A45" t="s">
        <v>41</v>
      </c>
      <c r="B45" t="s">
        <v>1</v>
      </c>
      <c r="C45" s="7" t="s">
        <v>1160</v>
      </c>
    </row>
    <row r="46" spans="1:3" x14ac:dyDescent="0.35">
      <c r="A46" t="s">
        <v>44</v>
      </c>
      <c r="B46" t="s">
        <v>1</v>
      </c>
      <c r="C46" s="7" t="s">
        <v>1160</v>
      </c>
    </row>
    <row r="47" spans="1:3" x14ac:dyDescent="0.35">
      <c r="A47" t="s">
        <v>45</v>
      </c>
      <c r="B47" t="s">
        <v>1</v>
      </c>
      <c r="C47" s="7" t="s">
        <v>1160</v>
      </c>
    </row>
    <row r="48" spans="1:3" x14ac:dyDescent="0.35">
      <c r="A48" t="s">
        <v>1092</v>
      </c>
      <c r="B48" t="s">
        <v>1</v>
      </c>
      <c r="C48" s="7" t="s">
        <v>1160</v>
      </c>
    </row>
    <row r="49" spans="1:5" x14ac:dyDescent="0.35">
      <c r="A49" t="s">
        <v>563</v>
      </c>
      <c r="B49" t="s">
        <v>1</v>
      </c>
      <c r="C49" s="7" t="s">
        <v>1160</v>
      </c>
    </row>
    <row r="50" spans="1:5" ht="29" x14ac:dyDescent="0.35">
      <c r="A50" t="s">
        <v>1149</v>
      </c>
      <c r="B50" t="s">
        <v>1</v>
      </c>
      <c r="C50" s="7" t="s">
        <v>1162</v>
      </c>
    </row>
    <row r="51" spans="1:5" x14ac:dyDescent="0.35">
      <c r="A51" t="s">
        <v>1150</v>
      </c>
      <c r="B51" t="s">
        <v>1</v>
      </c>
      <c r="C51" s="7" t="s">
        <v>1158</v>
      </c>
      <c r="E51" s="8"/>
    </row>
    <row r="52" spans="1:5" ht="43.5" x14ac:dyDescent="0.35">
      <c r="A52" t="s">
        <v>1151</v>
      </c>
      <c r="B52" t="s">
        <v>1</v>
      </c>
      <c r="C52" s="7" t="s">
        <v>1163</v>
      </c>
    </row>
    <row r="53" spans="1:5" ht="29" x14ac:dyDescent="0.35">
      <c r="A53" t="s">
        <v>1152</v>
      </c>
      <c r="B53" t="s">
        <v>1</v>
      </c>
      <c r="C53" s="7" t="s">
        <v>1162</v>
      </c>
    </row>
    <row r="54" spans="1:5" x14ac:dyDescent="0.35">
      <c r="A54" t="s">
        <v>1153</v>
      </c>
      <c r="B54" t="s">
        <v>1</v>
      </c>
      <c r="C54" s="7" t="s">
        <v>1158</v>
      </c>
    </row>
    <row r="55" spans="1:5" ht="43.5" x14ac:dyDescent="0.35">
      <c r="A55" t="s">
        <v>1154</v>
      </c>
      <c r="B55" t="s">
        <v>1</v>
      </c>
      <c r="C55" s="7" t="s">
        <v>1164</v>
      </c>
    </row>
    <row r="56" spans="1:5" ht="29" x14ac:dyDescent="0.35">
      <c r="A56" t="s">
        <v>1155</v>
      </c>
      <c r="B56" t="s">
        <v>1</v>
      </c>
      <c r="C56" s="7" t="s">
        <v>1159</v>
      </c>
    </row>
    <row r="57" spans="1:5" x14ac:dyDescent="0.35">
      <c r="A57" t="s">
        <v>1156</v>
      </c>
      <c r="B57" t="s">
        <v>1</v>
      </c>
      <c r="C57" s="7" t="s">
        <v>1158</v>
      </c>
    </row>
    <row r="58" spans="1:5" x14ac:dyDescent="0.35">
      <c r="A58" t="s">
        <v>56</v>
      </c>
      <c r="B58" t="s">
        <v>1</v>
      </c>
      <c r="C58" s="7" t="s">
        <v>1158</v>
      </c>
    </row>
    <row r="59" spans="1:5" x14ac:dyDescent="0.35">
      <c r="A59" t="s">
        <v>55</v>
      </c>
      <c r="B59" t="s">
        <v>1</v>
      </c>
      <c r="C59" s="7" t="s">
        <v>1158</v>
      </c>
    </row>
    <row r="60" spans="1:5" ht="29" x14ac:dyDescent="0.35">
      <c r="A60" t="s">
        <v>511</v>
      </c>
      <c r="B60" t="s">
        <v>1</v>
      </c>
      <c r="C60" s="7" t="s">
        <v>1159</v>
      </c>
    </row>
    <row r="61" spans="1:5" ht="29" x14ac:dyDescent="0.35">
      <c r="A61" t="s">
        <v>514</v>
      </c>
      <c r="B61" t="s">
        <v>1</v>
      </c>
      <c r="C61" s="7" t="s">
        <v>1159</v>
      </c>
    </row>
  </sheetData>
  <conditionalFormatting sqref="A7:A12 A14:A17 A23:A27 A30:A34">
    <cfRule type="expression" dxfId="312" priority="521">
      <formula>B7="Fail"</formula>
    </cfRule>
    <cfRule type="expression" dxfId="311" priority="522">
      <formula>B7="Pending"</formula>
    </cfRule>
  </conditionalFormatting>
  <conditionalFormatting sqref="A7:A12 A14:A17 A23:A27 A30:A34">
    <cfRule type="expression" dxfId="310" priority="520">
      <formula>B7="Pass"</formula>
    </cfRule>
  </conditionalFormatting>
  <conditionalFormatting sqref="A6">
    <cfRule type="expression" dxfId="309" priority="518">
      <formula>B6="Fail"</formula>
    </cfRule>
    <cfRule type="expression" dxfId="308" priority="519">
      <formula>B6="Pending"</formula>
    </cfRule>
  </conditionalFormatting>
  <conditionalFormatting sqref="A6">
    <cfRule type="expression" dxfId="307" priority="517">
      <formula>B6="Pass"</formula>
    </cfRule>
  </conditionalFormatting>
  <conditionalFormatting sqref="A13">
    <cfRule type="expression" dxfId="306" priority="428">
      <formula>B13="Fail"</formula>
    </cfRule>
    <cfRule type="expression" dxfId="305" priority="429">
      <formula>B13="Pending"</formula>
    </cfRule>
  </conditionalFormatting>
  <conditionalFormatting sqref="A13">
    <cfRule type="expression" dxfId="304" priority="427">
      <formula>B13="Pass"</formula>
    </cfRule>
  </conditionalFormatting>
  <conditionalFormatting sqref="A18">
    <cfRule type="expression" dxfId="303" priority="422">
      <formula>B18="Fail"</formula>
    </cfRule>
    <cfRule type="expression" dxfId="302" priority="423">
      <formula>B18="Pending"</formula>
    </cfRule>
  </conditionalFormatting>
  <conditionalFormatting sqref="A18">
    <cfRule type="expression" dxfId="301" priority="421">
      <formula>B18="Pass"</formula>
    </cfRule>
  </conditionalFormatting>
  <conditionalFormatting sqref="A19:A22">
    <cfRule type="expression" dxfId="300" priority="392">
      <formula>B19="Fail"</formula>
    </cfRule>
    <cfRule type="expression" dxfId="299" priority="393">
      <formula>B19="Pending"</formula>
    </cfRule>
  </conditionalFormatting>
  <conditionalFormatting sqref="A19:A22">
    <cfRule type="expression" dxfId="298" priority="391">
      <formula>B19="Pass"</formula>
    </cfRule>
  </conditionalFormatting>
  <conditionalFormatting sqref="A28:A29">
    <cfRule type="expression" dxfId="297" priority="323">
      <formula>B28="Fail"</formula>
    </cfRule>
    <cfRule type="expression" dxfId="296" priority="324">
      <formula>B28="Pending"</formula>
    </cfRule>
  </conditionalFormatting>
  <conditionalFormatting sqref="A28:A29">
    <cfRule type="expression" dxfId="295" priority="322">
      <formula>B28="Pass"</formula>
    </cfRule>
  </conditionalFormatting>
  <conditionalFormatting sqref="A35:A36">
    <cfRule type="expression" dxfId="294" priority="287">
      <formula>B35="Fail"</formula>
    </cfRule>
    <cfRule type="expression" dxfId="293" priority="288">
      <formula>B35="Pending"</formula>
    </cfRule>
  </conditionalFormatting>
  <conditionalFormatting sqref="A35:A36">
    <cfRule type="expression" dxfId="292" priority="286">
      <formula>B35="Pass"</formula>
    </cfRule>
  </conditionalFormatting>
  <conditionalFormatting sqref="A37:A41">
    <cfRule type="expression" dxfId="291" priority="278">
      <formula>B37="Fail"</formula>
    </cfRule>
    <cfRule type="expression" dxfId="290" priority="279">
      <formula>B37="Pending"</formula>
    </cfRule>
  </conditionalFormatting>
  <conditionalFormatting sqref="A37:A41">
    <cfRule type="expression" dxfId="289" priority="277">
      <formula>B37="Pass"</formula>
    </cfRule>
  </conditionalFormatting>
  <conditionalFormatting sqref="A42:A47">
    <cfRule type="expression" dxfId="288" priority="266">
      <formula>B42="Fail"</formula>
    </cfRule>
    <cfRule type="expression" dxfId="287" priority="267">
      <formula>B42="Pending"</formula>
    </cfRule>
  </conditionalFormatting>
  <conditionalFormatting sqref="A42:A47">
    <cfRule type="expression" dxfId="286" priority="265">
      <formula>B42="Pass"</formula>
    </cfRule>
  </conditionalFormatting>
  <conditionalFormatting sqref="A48:A49">
    <cfRule type="expression" dxfId="285" priority="233">
      <formula>B48="Fail"</formula>
    </cfRule>
    <cfRule type="expression" dxfId="284" priority="234">
      <formula>B48="Pending"</formula>
    </cfRule>
  </conditionalFormatting>
  <conditionalFormatting sqref="A48:A49">
    <cfRule type="expression" dxfId="283" priority="232">
      <formula>B48="Pass"</formula>
    </cfRule>
  </conditionalFormatting>
  <conditionalFormatting sqref="A50:A53">
    <cfRule type="expression" dxfId="282" priority="227">
      <formula>B50="Fail"</formula>
    </cfRule>
    <cfRule type="expression" dxfId="281" priority="228">
      <formula>B50="Pending"</formula>
    </cfRule>
  </conditionalFormatting>
  <conditionalFormatting sqref="A50:A53">
    <cfRule type="expression" dxfId="280" priority="226">
      <formula>B50="Pass"</formula>
    </cfRule>
  </conditionalFormatting>
  <conditionalFormatting sqref="A54:A57">
    <cfRule type="expression" dxfId="279" priority="215">
      <formula>B54="Fail"</formula>
    </cfRule>
    <cfRule type="expression" dxfId="278" priority="216">
      <formula>B54="Pending"</formula>
    </cfRule>
  </conditionalFormatting>
  <conditionalFormatting sqref="A54:A57">
    <cfRule type="expression" dxfId="277" priority="214">
      <formula>B54="Pass"</formula>
    </cfRule>
  </conditionalFormatting>
  <conditionalFormatting sqref="A58:A61">
    <cfRule type="expression" dxfId="276" priority="200">
      <formula>B58="Fail"</formula>
    </cfRule>
    <cfRule type="expression" dxfId="275" priority="201">
      <formula>B58="Pending"</formula>
    </cfRule>
  </conditionalFormatting>
  <conditionalFormatting sqref="A58:A61">
    <cfRule type="expression" dxfId="274" priority="199">
      <formula>B58="Pass"</formula>
    </cfRule>
  </conditionalFormatting>
  <dataValidations count="1">
    <dataValidation type="list" allowBlank="1" showInputMessage="1" showErrorMessage="1" sqref="B6:B62" xr:uid="{00000000-0002-0000-0F00-000000000000}">
      <formula1>$A$1:$A$3</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523" operator="containsText" id="{122BB984-563D-4F4F-AD13-E79E85739CE5}">
            <xm:f>NOT(ISERROR(SEARCH($A$1,B6)))</xm:f>
            <xm:f>$A$1</xm:f>
            <x14:dxf>
              <font>
                <b val="0"/>
                <i val="0"/>
                <color theme="9" tint="-0.499984740745262"/>
              </font>
              <fill>
                <patternFill>
                  <bgColor theme="9" tint="0.59996337778862885"/>
                </patternFill>
              </fill>
            </x14:dxf>
          </x14:cfRule>
          <x14:cfRule type="containsText" priority="524" operator="containsText" id="{941DD843-E630-48FD-99A7-D09A12FF3813}">
            <xm:f>NOT(ISERROR(SEARCH($A$2,B6)))</xm:f>
            <xm:f>$A$2</xm:f>
            <x14:dxf>
              <font>
                <b val="0"/>
                <i val="0"/>
                <color rgb="FFC00000"/>
              </font>
              <fill>
                <patternFill>
                  <bgColor rgb="FFFFCCCC"/>
                </patternFill>
              </fill>
            </x14:dxf>
          </x14:cfRule>
          <x14:cfRule type="containsText" priority="525" operator="containsText" id="{FC6AD742-52D3-423A-BB44-FA78D7AFBC47}">
            <xm:f>NOT(ISERROR(SEARCH($A$3,B6)))</xm:f>
            <xm:f>$A$3</xm:f>
            <x14:dxf>
              <font>
                <b val="0"/>
                <i val="0"/>
                <color theme="7" tint="-0.499984740745262"/>
              </font>
              <fill>
                <patternFill>
                  <bgColor theme="7" tint="0.59996337778862885"/>
                </patternFill>
              </fill>
            </x14:dxf>
          </x14:cfRule>
          <xm:sqref>B6</xm:sqref>
        </x14:conditionalFormatting>
        <x14:conditionalFormatting xmlns:xm="http://schemas.microsoft.com/office/excel/2006/main">
          <x14:cfRule type="containsText" priority="397" operator="containsText" id="{304968D6-66CB-4057-98CD-E7B28EE272D1}">
            <xm:f>NOT(ISERROR(SEARCH($A$1,B14)))</xm:f>
            <xm:f>$A$1</xm:f>
            <x14:dxf>
              <font>
                <b val="0"/>
                <i val="0"/>
                <color theme="9" tint="-0.499984740745262"/>
              </font>
              <fill>
                <patternFill>
                  <bgColor theme="9" tint="0.59996337778862885"/>
                </patternFill>
              </fill>
            </x14:dxf>
          </x14:cfRule>
          <x14:cfRule type="containsText" priority="398" operator="containsText" id="{494A18E7-767C-4999-9E5A-7334041DBDA3}">
            <xm:f>NOT(ISERROR(SEARCH($A$2,B14)))</xm:f>
            <xm:f>$A$2</xm:f>
            <x14:dxf>
              <font>
                <b val="0"/>
                <i val="0"/>
                <color rgb="FFC00000"/>
              </font>
              <fill>
                <patternFill>
                  <bgColor rgb="FFFFCCCC"/>
                </patternFill>
              </fill>
            </x14:dxf>
          </x14:cfRule>
          <x14:cfRule type="containsText" priority="399" operator="containsText" id="{AD861BF6-CFAC-4686-8705-1AA70D12CC92}">
            <xm:f>NOT(ISERROR(SEARCH($A$3,B14)))</xm:f>
            <xm:f>$A$3</xm:f>
            <x14:dxf>
              <font>
                <b val="0"/>
                <i val="0"/>
                <color theme="7" tint="-0.499984740745262"/>
              </font>
              <fill>
                <patternFill>
                  <bgColor theme="7" tint="0.59996337778862885"/>
                </patternFill>
              </fill>
            </x14:dxf>
          </x14:cfRule>
          <xm:sqref>B14 B18</xm:sqref>
        </x14:conditionalFormatting>
        <x14:conditionalFormatting xmlns:xm="http://schemas.microsoft.com/office/excel/2006/main">
          <x14:cfRule type="containsText" priority="205" operator="containsText" id="{450288AF-6E39-4B8D-8ABF-2A582DA175FA}">
            <xm:f>NOT(ISERROR(SEARCH($A$1,B55)))</xm:f>
            <xm:f>$A$1</xm:f>
            <x14:dxf>
              <font>
                <b val="0"/>
                <i val="0"/>
                <color theme="9" tint="-0.499984740745262"/>
              </font>
              <fill>
                <patternFill>
                  <bgColor theme="9" tint="0.59996337778862885"/>
                </patternFill>
              </fill>
            </x14:dxf>
          </x14:cfRule>
          <x14:cfRule type="containsText" priority="206" operator="containsText" id="{942F0386-7A19-4D96-BD7C-32D23C5C704D}">
            <xm:f>NOT(ISERROR(SEARCH($A$2,B55)))</xm:f>
            <xm:f>$A$2</xm:f>
            <x14:dxf>
              <font>
                <b val="0"/>
                <i val="0"/>
                <color rgb="FFC00000"/>
              </font>
              <fill>
                <patternFill>
                  <bgColor rgb="FFFFCCCC"/>
                </patternFill>
              </fill>
            </x14:dxf>
          </x14:cfRule>
          <x14:cfRule type="containsText" priority="207" operator="containsText" id="{BB259C3E-FB2A-4411-9D89-18DB59DC3C82}">
            <xm:f>NOT(ISERROR(SEARCH($A$3,B55)))</xm:f>
            <xm:f>$A$3</xm:f>
            <x14:dxf>
              <font>
                <b val="0"/>
                <i val="0"/>
                <color theme="7" tint="-0.499984740745262"/>
              </font>
              <fill>
                <patternFill>
                  <bgColor theme="7" tint="0.59996337778862885"/>
                </patternFill>
              </fill>
            </x14:dxf>
          </x14:cfRule>
          <xm:sqref>B55:B56</xm:sqref>
        </x14:conditionalFormatting>
        <x14:conditionalFormatting xmlns:xm="http://schemas.microsoft.com/office/excel/2006/main">
          <x14:cfRule type="containsText" priority="193" operator="containsText" id="{BC52FF3D-DFB6-4196-8931-99976E64E058}">
            <xm:f>NOT(ISERROR(SEARCH($A$1,B62)))</xm:f>
            <xm:f>$A$1</xm:f>
            <x14:dxf>
              <font>
                <b val="0"/>
                <i val="0"/>
                <color theme="9" tint="-0.499984740745262"/>
              </font>
              <fill>
                <patternFill>
                  <bgColor theme="9" tint="0.59996337778862885"/>
                </patternFill>
              </fill>
            </x14:dxf>
          </x14:cfRule>
          <x14:cfRule type="containsText" priority="194" operator="containsText" id="{FA1397C5-02BE-4649-BB76-3A078A0F8EBA}">
            <xm:f>NOT(ISERROR(SEARCH($A$2,B62)))</xm:f>
            <xm:f>$A$2</xm:f>
            <x14:dxf>
              <font>
                <b val="0"/>
                <i val="0"/>
                <color rgb="FFC00000"/>
              </font>
              <fill>
                <patternFill>
                  <bgColor rgb="FFFFCCCC"/>
                </patternFill>
              </fill>
            </x14:dxf>
          </x14:cfRule>
          <x14:cfRule type="containsText" priority="195" operator="containsText" id="{FE454A48-0CD6-4747-9432-6906CFB652DA}">
            <xm:f>NOT(ISERROR(SEARCH($A$3,B62)))</xm:f>
            <xm:f>$A$3</xm:f>
            <x14:dxf>
              <font>
                <b val="0"/>
                <i val="0"/>
                <color theme="7" tint="-0.499984740745262"/>
              </font>
              <fill>
                <patternFill>
                  <bgColor theme="7" tint="0.59996337778862885"/>
                </patternFill>
              </fill>
            </x14:dxf>
          </x14:cfRule>
          <xm:sqref>B62</xm:sqref>
        </x14:conditionalFormatting>
        <x14:conditionalFormatting xmlns:xm="http://schemas.microsoft.com/office/excel/2006/main">
          <x14:cfRule type="containsText" priority="190" operator="containsText" id="{54FB42BD-A707-484A-A6AD-FA5D9051BA19}">
            <xm:f>NOT(ISERROR(SEARCH($A$1,B19)))</xm:f>
            <xm:f>$A$1</xm:f>
            <x14:dxf>
              <font>
                <b val="0"/>
                <i val="0"/>
                <color theme="9" tint="-0.499984740745262"/>
              </font>
              <fill>
                <patternFill>
                  <bgColor theme="9" tint="0.59996337778862885"/>
                </patternFill>
              </fill>
            </x14:dxf>
          </x14:cfRule>
          <x14:cfRule type="containsText" priority="191" operator="containsText" id="{D0933E04-5C60-4B2E-AB80-83B3F43C3BAD}">
            <xm:f>NOT(ISERROR(SEARCH($A$2,B19)))</xm:f>
            <xm:f>$A$2</xm:f>
            <x14:dxf>
              <font>
                <b val="0"/>
                <i val="0"/>
                <color rgb="FFC00000"/>
              </font>
              <fill>
                <patternFill>
                  <bgColor rgb="FFFFCCCC"/>
                </patternFill>
              </fill>
            </x14:dxf>
          </x14:cfRule>
          <x14:cfRule type="containsText" priority="192" operator="containsText" id="{91BDB377-2F98-4F8D-A758-80778F5657BB}">
            <xm:f>NOT(ISERROR(SEARCH($A$3,B19)))</xm:f>
            <xm:f>$A$3</xm:f>
            <x14:dxf>
              <font>
                <b val="0"/>
                <i val="0"/>
                <color theme="7" tint="-0.499984740745262"/>
              </font>
              <fill>
                <patternFill>
                  <bgColor theme="7" tint="0.59996337778862885"/>
                </patternFill>
              </fill>
            </x14:dxf>
          </x14:cfRule>
          <xm:sqref>B19</xm:sqref>
        </x14:conditionalFormatting>
        <x14:conditionalFormatting xmlns:xm="http://schemas.microsoft.com/office/excel/2006/main">
          <x14:cfRule type="containsText" priority="187" operator="containsText" id="{BE3DF03B-B6E9-42F5-B2C2-3E6AF5D05F49}">
            <xm:f>NOT(ISERROR(SEARCH($A$1,B20)))</xm:f>
            <xm:f>$A$1</xm:f>
            <x14:dxf>
              <font>
                <b val="0"/>
                <i val="0"/>
                <color theme="9" tint="-0.499984740745262"/>
              </font>
              <fill>
                <patternFill>
                  <bgColor theme="9" tint="0.59996337778862885"/>
                </patternFill>
              </fill>
            </x14:dxf>
          </x14:cfRule>
          <x14:cfRule type="containsText" priority="188" operator="containsText" id="{B9E5BF9E-7499-48BF-B0AD-7C42589A24B5}">
            <xm:f>NOT(ISERROR(SEARCH($A$2,B20)))</xm:f>
            <xm:f>$A$2</xm:f>
            <x14:dxf>
              <font>
                <b val="0"/>
                <i val="0"/>
                <color rgb="FFC00000"/>
              </font>
              <fill>
                <patternFill>
                  <bgColor rgb="FFFFCCCC"/>
                </patternFill>
              </fill>
            </x14:dxf>
          </x14:cfRule>
          <x14:cfRule type="containsText" priority="189" operator="containsText" id="{96B11C49-3AD2-4EB3-9463-E13FF5CB8BEA}">
            <xm:f>NOT(ISERROR(SEARCH($A$3,B20)))</xm:f>
            <xm:f>$A$3</xm:f>
            <x14:dxf>
              <font>
                <b val="0"/>
                <i val="0"/>
                <color theme="7" tint="-0.499984740745262"/>
              </font>
              <fill>
                <patternFill>
                  <bgColor theme="7" tint="0.59996337778862885"/>
                </patternFill>
              </fill>
            </x14:dxf>
          </x14:cfRule>
          <xm:sqref>B20</xm:sqref>
        </x14:conditionalFormatting>
        <x14:conditionalFormatting xmlns:xm="http://schemas.microsoft.com/office/excel/2006/main">
          <x14:cfRule type="containsText" priority="184" operator="containsText" id="{5CB74770-341F-406B-8B81-E4F136E35169}">
            <xm:f>NOT(ISERROR(SEARCH($A$1,B21)))</xm:f>
            <xm:f>$A$1</xm:f>
            <x14:dxf>
              <font>
                <b val="0"/>
                <i val="0"/>
                <color theme="9" tint="-0.499984740745262"/>
              </font>
              <fill>
                <patternFill>
                  <bgColor theme="9" tint="0.59996337778862885"/>
                </patternFill>
              </fill>
            </x14:dxf>
          </x14:cfRule>
          <x14:cfRule type="containsText" priority="185" operator="containsText" id="{E5EBFAE6-AF8C-4B02-8A29-361E37634769}">
            <xm:f>NOT(ISERROR(SEARCH($A$2,B21)))</xm:f>
            <xm:f>$A$2</xm:f>
            <x14:dxf>
              <font>
                <b val="0"/>
                <i val="0"/>
                <color rgb="FFC00000"/>
              </font>
              <fill>
                <patternFill>
                  <bgColor rgb="FFFFCCCC"/>
                </patternFill>
              </fill>
            </x14:dxf>
          </x14:cfRule>
          <x14:cfRule type="containsText" priority="186" operator="containsText" id="{21FD76D8-B32E-4D56-A912-2EC020B60CDE}">
            <xm:f>NOT(ISERROR(SEARCH($A$3,B21)))</xm:f>
            <xm:f>$A$3</xm:f>
            <x14:dxf>
              <font>
                <b val="0"/>
                <i val="0"/>
                <color theme="7" tint="-0.499984740745262"/>
              </font>
              <fill>
                <patternFill>
                  <bgColor theme="7" tint="0.59996337778862885"/>
                </patternFill>
              </fill>
            </x14:dxf>
          </x14:cfRule>
          <xm:sqref>B21</xm:sqref>
        </x14:conditionalFormatting>
        <x14:conditionalFormatting xmlns:xm="http://schemas.microsoft.com/office/excel/2006/main">
          <x14:cfRule type="containsText" priority="181" operator="containsText" id="{AFE22155-F608-4FF9-8ABF-E29824A25FF3}">
            <xm:f>NOT(ISERROR(SEARCH($A$1,B22)))</xm:f>
            <xm:f>$A$1</xm:f>
            <x14:dxf>
              <font>
                <b val="0"/>
                <i val="0"/>
                <color theme="9" tint="-0.499984740745262"/>
              </font>
              <fill>
                <patternFill>
                  <bgColor theme="9" tint="0.59996337778862885"/>
                </patternFill>
              </fill>
            </x14:dxf>
          </x14:cfRule>
          <x14:cfRule type="containsText" priority="182" operator="containsText" id="{9EE0A624-70BF-400C-A2E5-72EE9FA69AB5}">
            <xm:f>NOT(ISERROR(SEARCH($A$2,B22)))</xm:f>
            <xm:f>$A$2</xm:f>
            <x14:dxf>
              <font>
                <b val="0"/>
                <i val="0"/>
                <color rgb="FFC00000"/>
              </font>
              <fill>
                <patternFill>
                  <bgColor rgb="FFFFCCCC"/>
                </patternFill>
              </fill>
            </x14:dxf>
          </x14:cfRule>
          <x14:cfRule type="containsText" priority="183" operator="containsText" id="{3129A898-F616-46AA-B5D3-72532E9EA1BC}">
            <xm:f>NOT(ISERROR(SEARCH($A$3,B22)))</xm:f>
            <xm:f>$A$3</xm:f>
            <x14:dxf>
              <font>
                <b val="0"/>
                <i val="0"/>
                <color theme="7" tint="-0.499984740745262"/>
              </font>
              <fill>
                <patternFill>
                  <bgColor theme="7" tint="0.59996337778862885"/>
                </patternFill>
              </fill>
            </x14:dxf>
          </x14:cfRule>
          <xm:sqref>B22</xm:sqref>
        </x14:conditionalFormatting>
        <x14:conditionalFormatting xmlns:xm="http://schemas.microsoft.com/office/excel/2006/main">
          <x14:cfRule type="containsText" priority="178" operator="containsText" id="{2687B849-2E8B-4C4B-B94A-C34A2DAC6566}">
            <xm:f>NOT(ISERROR(SEARCH($A$1,B23)))</xm:f>
            <xm:f>$A$1</xm:f>
            <x14:dxf>
              <font>
                <b val="0"/>
                <i val="0"/>
                <color theme="9" tint="-0.499984740745262"/>
              </font>
              <fill>
                <patternFill>
                  <bgColor theme="9" tint="0.59996337778862885"/>
                </patternFill>
              </fill>
            </x14:dxf>
          </x14:cfRule>
          <x14:cfRule type="containsText" priority="179" operator="containsText" id="{56F047F3-CCB3-41C3-B39B-0D584602DEAB}">
            <xm:f>NOT(ISERROR(SEARCH($A$2,B23)))</xm:f>
            <xm:f>$A$2</xm:f>
            <x14:dxf>
              <font>
                <b val="0"/>
                <i val="0"/>
                <color rgb="FFC00000"/>
              </font>
              <fill>
                <patternFill>
                  <bgColor rgb="FFFFCCCC"/>
                </patternFill>
              </fill>
            </x14:dxf>
          </x14:cfRule>
          <x14:cfRule type="containsText" priority="180" operator="containsText" id="{C00959EB-E95B-473B-866A-0B0B17F4BC62}">
            <xm:f>NOT(ISERROR(SEARCH($A$3,B23)))</xm:f>
            <xm:f>$A$3</xm:f>
            <x14:dxf>
              <font>
                <b val="0"/>
                <i val="0"/>
                <color theme="7" tint="-0.499984740745262"/>
              </font>
              <fill>
                <patternFill>
                  <bgColor theme="7" tint="0.59996337778862885"/>
                </patternFill>
              </fill>
            </x14:dxf>
          </x14:cfRule>
          <xm:sqref>B23</xm:sqref>
        </x14:conditionalFormatting>
        <x14:conditionalFormatting xmlns:xm="http://schemas.microsoft.com/office/excel/2006/main">
          <x14:cfRule type="containsText" priority="175" operator="containsText" id="{A2FB518A-8939-4985-AFA2-32C7CC6EF698}">
            <xm:f>NOT(ISERROR(SEARCH($A$1,B24)))</xm:f>
            <xm:f>$A$1</xm:f>
            <x14:dxf>
              <font>
                <b val="0"/>
                <i val="0"/>
                <color theme="9" tint="-0.499984740745262"/>
              </font>
              <fill>
                <patternFill>
                  <bgColor theme="9" tint="0.59996337778862885"/>
                </patternFill>
              </fill>
            </x14:dxf>
          </x14:cfRule>
          <x14:cfRule type="containsText" priority="176" operator="containsText" id="{33C555D5-7DA5-468C-980B-00149E12FADA}">
            <xm:f>NOT(ISERROR(SEARCH($A$2,B24)))</xm:f>
            <xm:f>$A$2</xm:f>
            <x14:dxf>
              <font>
                <b val="0"/>
                <i val="0"/>
                <color rgb="FFC00000"/>
              </font>
              <fill>
                <patternFill>
                  <bgColor rgb="FFFFCCCC"/>
                </patternFill>
              </fill>
            </x14:dxf>
          </x14:cfRule>
          <x14:cfRule type="containsText" priority="177" operator="containsText" id="{AC8E24D9-2496-49E3-9487-D0C75E2FC3F8}">
            <xm:f>NOT(ISERROR(SEARCH($A$3,B24)))</xm:f>
            <xm:f>$A$3</xm:f>
            <x14:dxf>
              <font>
                <b val="0"/>
                <i val="0"/>
                <color theme="7" tint="-0.499984740745262"/>
              </font>
              <fill>
                <patternFill>
                  <bgColor theme="7" tint="0.59996337778862885"/>
                </patternFill>
              </fill>
            </x14:dxf>
          </x14:cfRule>
          <xm:sqref>B24:B25</xm:sqref>
        </x14:conditionalFormatting>
        <x14:conditionalFormatting xmlns:xm="http://schemas.microsoft.com/office/excel/2006/main">
          <x14:cfRule type="containsText" priority="172" operator="containsText" id="{1482524F-2B1C-4A41-91B0-AB3C1B3EAA69}">
            <xm:f>NOT(ISERROR(SEARCH($A$1,B26)))</xm:f>
            <xm:f>$A$1</xm:f>
            <x14:dxf>
              <font>
                <b val="0"/>
                <i val="0"/>
                <color theme="9" tint="-0.499984740745262"/>
              </font>
              <fill>
                <patternFill>
                  <bgColor theme="9" tint="0.59996337778862885"/>
                </patternFill>
              </fill>
            </x14:dxf>
          </x14:cfRule>
          <x14:cfRule type="containsText" priority="173" operator="containsText" id="{AFF668CA-7AC1-463D-A95D-C770861636AD}">
            <xm:f>NOT(ISERROR(SEARCH($A$2,B26)))</xm:f>
            <xm:f>$A$2</xm:f>
            <x14:dxf>
              <font>
                <b val="0"/>
                <i val="0"/>
                <color rgb="FFC00000"/>
              </font>
              <fill>
                <patternFill>
                  <bgColor rgb="FFFFCCCC"/>
                </patternFill>
              </fill>
            </x14:dxf>
          </x14:cfRule>
          <x14:cfRule type="containsText" priority="174" operator="containsText" id="{1495A8AD-8FA6-4D96-8ECF-7BAD73E033F7}">
            <xm:f>NOT(ISERROR(SEARCH($A$3,B26)))</xm:f>
            <xm:f>$A$3</xm:f>
            <x14:dxf>
              <font>
                <b val="0"/>
                <i val="0"/>
                <color theme="7" tint="-0.499984740745262"/>
              </font>
              <fill>
                <patternFill>
                  <bgColor theme="7" tint="0.59996337778862885"/>
                </patternFill>
              </fill>
            </x14:dxf>
          </x14:cfRule>
          <xm:sqref>B26</xm:sqref>
        </x14:conditionalFormatting>
        <x14:conditionalFormatting xmlns:xm="http://schemas.microsoft.com/office/excel/2006/main">
          <x14:cfRule type="containsText" priority="169" operator="containsText" id="{B3F84F2C-2022-4762-94D5-74373A03689F}">
            <xm:f>NOT(ISERROR(SEARCH($A$1,B27)))</xm:f>
            <xm:f>$A$1</xm:f>
            <x14:dxf>
              <font>
                <b val="0"/>
                <i val="0"/>
                <color theme="9" tint="-0.499984740745262"/>
              </font>
              <fill>
                <patternFill>
                  <bgColor theme="9" tint="0.59996337778862885"/>
                </patternFill>
              </fill>
            </x14:dxf>
          </x14:cfRule>
          <x14:cfRule type="containsText" priority="170" operator="containsText" id="{DFB5BB2E-AF9E-4CF9-9811-39A19BC4119A}">
            <xm:f>NOT(ISERROR(SEARCH($A$2,B27)))</xm:f>
            <xm:f>$A$2</xm:f>
            <x14:dxf>
              <font>
                <b val="0"/>
                <i val="0"/>
                <color rgb="FFC00000"/>
              </font>
              <fill>
                <patternFill>
                  <bgColor rgb="FFFFCCCC"/>
                </patternFill>
              </fill>
            </x14:dxf>
          </x14:cfRule>
          <x14:cfRule type="containsText" priority="171" operator="containsText" id="{0C27C78B-6831-4807-ABAD-28D42A0FFF43}">
            <xm:f>NOT(ISERROR(SEARCH($A$3,B27)))</xm:f>
            <xm:f>$A$3</xm:f>
            <x14:dxf>
              <font>
                <b val="0"/>
                <i val="0"/>
                <color theme="7" tint="-0.499984740745262"/>
              </font>
              <fill>
                <patternFill>
                  <bgColor theme="7" tint="0.59996337778862885"/>
                </patternFill>
              </fill>
            </x14:dxf>
          </x14:cfRule>
          <xm:sqref>B27</xm:sqref>
        </x14:conditionalFormatting>
        <x14:conditionalFormatting xmlns:xm="http://schemas.microsoft.com/office/excel/2006/main">
          <x14:cfRule type="containsText" priority="166" operator="containsText" id="{87CAAA41-BBBA-4C66-A2C7-1E813F065D1B}">
            <xm:f>NOT(ISERROR(SEARCH($A$1,B50)))</xm:f>
            <xm:f>$A$1</xm:f>
            <x14:dxf>
              <font>
                <b val="0"/>
                <i val="0"/>
                <color theme="9" tint="-0.499984740745262"/>
              </font>
              <fill>
                <patternFill>
                  <bgColor theme="9" tint="0.59996337778862885"/>
                </patternFill>
              </fill>
            </x14:dxf>
          </x14:cfRule>
          <x14:cfRule type="containsText" priority="167" operator="containsText" id="{78644247-3AE4-4500-9BE3-A9F8CF2653C2}">
            <xm:f>NOT(ISERROR(SEARCH($A$2,B50)))</xm:f>
            <xm:f>$A$2</xm:f>
            <x14:dxf>
              <font>
                <b val="0"/>
                <i val="0"/>
                <color rgb="FFC00000"/>
              </font>
              <fill>
                <patternFill>
                  <bgColor rgb="FFFFCCCC"/>
                </patternFill>
              </fill>
            </x14:dxf>
          </x14:cfRule>
          <x14:cfRule type="containsText" priority="168" operator="containsText" id="{3FBE4B65-DC53-4C2F-9AD1-6B1872ED6BF2}">
            <xm:f>NOT(ISERROR(SEARCH($A$3,B50)))</xm:f>
            <xm:f>$A$3</xm:f>
            <x14:dxf>
              <font>
                <b val="0"/>
                <i val="0"/>
                <color theme="7" tint="-0.499984740745262"/>
              </font>
              <fill>
                <patternFill>
                  <bgColor theme="7" tint="0.59996337778862885"/>
                </patternFill>
              </fill>
            </x14:dxf>
          </x14:cfRule>
          <xm:sqref>B50</xm:sqref>
        </x14:conditionalFormatting>
        <x14:conditionalFormatting xmlns:xm="http://schemas.microsoft.com/office/excel/2006/main">
          <x14:cfRule type="containsText" priority="160" operator="containsText" id="{219EFA72-128E-449A-8274-9A3BFE652AFF}">
            <xm:f>NOT(ISERROR(SEARCH($A$1,B51)))</xm:f>
            <xm:f>$A$1</xm:f>
            <x14:dxf>
              <font>
                <b val="0"/>
                <i val="0"/>
                <color theme="9" tint="-0.499984740745262"/>
              </font>
              <fill>
                <patternFill>
                  <bgColor theme="9" tint="0.59996337778862885"/>
                </patternFill>
              </fill>
            </x14:dxf>
          </x14:cfRule>
          <x14:cfRule type="containsText" priority="161" operator="containsText" id="{BE88C39A-E4EF-4C2A-986B-B1B4F344C1C2}">
            <xm:f>NOT(ISERROR(SEARCH($A$2,B51)))</xm:f>
            <xm:f>$A$2</xm:f>
            <x14:dxf>
              <font>
                <b val="0"/>
                <i val="0"/>
                <color rgb="FFC00000"/>
              </font>
              <fill>
                <patternFill>
                  <bgColor rgb="FFFFCCCC"/>
                </patternFill>
              </fill>
            </x14:dxf>
          </x14:cfRule>
          <x14:cfRule type="containsText" priority="162" operator="containsText" id="{00E9E06F-397D-4DF9-9B8A-9503345631AA}">
            <xm:f>NOT(ISERROR(SEARCH($A$3,B51)))</xm:f>
            <xm:f>$A$3</xm:f>
            <x14:dxf>
              <font>
                <b val="0"/>
                <i val="0"/>
                <color theme="7" tint="-0.499984740745262"/>
              </font>
              <fill>
                <patternFill>
                  <bgColor theme="7" tint="0.59996337778862885"/>
                </patternFill>
              </fill>
            </x14:dxf>
          </x14:cfRule>
          <xm:sqref>B51</xm:sqref>
        </x14:conditionalFormatting>
        <x14:conditionalFormatting xmlns:xm="http://schemas.microsoft.com/office/excel/2006/main">
          <x14:cfRule type="containsText" priority="151" operator="containsText" id="{6BAC7D1A-104A-4F9F-A634-47B0B36922B4}">
            <xm:f>NOT(ISERROR(SEARCH($A$1,B54)))</xm:f>
            <xm:f>$A$1</xm:f>
            <x14:dxf>
              <font>
                <b val="0"/>
                <i val="0"/>
                <color theme="9" tint="-0.499984740745262"/>
              </font>
              <fill>
                <patternFill>
                  <bgColor theme="9" tint="0.59996337778862885"/>
                </patternFill>
              </fill>
            </x14:dxf>
          </x14:cfRule>
          <x14:cfRule type="containsText" priority="152" operator="containsText" id="{C5CD3D94-EAFD-4D82-A3FC-5B3BAA19FA60}">
            <xm:f>NOT(ISERROR(SEARCH($A$2,B54)))</xm:f>
            <xm:f>$A$2</xm:f>
            <x14:dxf>
              <font>
                <b val="0"/>
                <i val="0"/>
                <color rgb="FFC00000"/>
              </font>
              <fill>
                <patternFill>
                  <bgColor rgb="FFFFCCCC"/>
                </patternFill>
              </fill>
            </x14:dxf>
          </x14:cfRule>
          <x14:cfRule type="containsText" priority="153" operator="containsText" id="{1BBE3897-9D6C-4586-9ABB-38BF3DF73716}">
            <xm:f>NOT(ISERROR(SEARCH($A$3,B54)))</xm:f>
            <xm:f>$A$3</xm:f>
            <x14:dxf>
              <font>
                <b val="0"/>
                <i val="0"/>
                <color theme="7" tint="-0.499984740745262"/>
              </font>
              <fill>
                <patternFill>
                  <bgColor theme="7" tint="0.59996337778862885"/>
                </patternFill>
              </fill>
            </x14:dxf>
          </x14:cfRule>
          <xm:sqref>B54</xm:sqref>
        </x14:conditionalFormatting>
        <x14:conditionalFormatting xmlns:xm="http://schemas.microsoft.com/office/excel/2006/main">
          <x14:cfRule type="containsText" priority="148" operator="containsText" id="{2148C22F-31DB-4899-B189-49F73805EE23}">
            <xm:f>NOT(ISERROR(SEARCH($A$1,B57)))</xm:f>
            <xm:f>$A$1</xm:f>
            <x14:dxf>
              <font>
                <b val="0"/>
                <i val="0"/>
                <color theme="9" tint="-0.499984740745262"/>
              </font>
              <fill>
                <patternFill>
                  <bgColor theme="9" tint="0.59996337778862885"/>
                </patternFill>
              </fill>
            </x14:dxf>
          </x14:cfRule>
          <x14:cfRule type="containsText" priority="149" operator="containsText" id="{D11693D2-76E2-4ACF-8715-6BEDD246A445}">
            <xm:f>NOT(ISERROR(SEARCH($A$2,B57)))</xm:f>
            <xm:f>$A$2</xm:f>
            <x14:dxf>
              <font>
                <b val="0"/>
                <i val="0"/>
                <color rgb="FFC00000"/>
              </font>
              <fill>
                <patternFill>
                  <bgColor rgb="FFFFCCCC"/>
                </patternFill>
              </fill>
            </x14:dxf>
          </x14:cfRule>
          <x14:cfRule type="containsText" priority="150" operator="containsText" id="{A69BDC48-901B-4D53-91F2-DE53B6C35429}">
            <xm:f>NOT(ISERROR(SEARCH($A$3,B57)))</xm:f>
            <xm:f>$A$3</xm:f>
            <x14:dxf>
              <font>
                <b val="0"/>
                <i val="0"/>
                <color theme="7" tint="-0.499984740745262"/>
              </font>
              <fill>
                <patternFill>
                  <bgColor theme="7" tint="0.59996337778862885"/>
                </patternFill>
              </fill>
            </x14:dxf>
          </x14:cfRule>
          <xm:sqref>B57</xm:sqref>
        </x14:conditionalFormatting>
        <x14:conditionalFormatting xmlns:xm="http://schemas.microsoft.com/office/excel/2006/main">
          <x14:cfRule type="containsText" priority="145" operator="containsText" id="{98A73B37-7850-4A43-8ACC-C66DF70D2F8C}">
            <xm:f>NOT(ISERROR(SEARCH($A$1,B58)))</xm:f>
            <xm:f>$A$1</xm:f>
            <x14:dxf>
              <font>
                <b val="0"/>
                <i val="0"/>
                <color theme="9" tint="-0.499984740745262"/>
              </font>
              <fill>
                <patternFill>
                  <bgColor theme="9" tint="0.59996337778862885"/>
                </patternFill>
              </fill>
            </x14:dxf>
          </x14:cfRule>
          <x14:cfRule type="containsText" priority="146" operator="containsText" id="{9437F71E-5069-40AC-AACD-31263D155BA0}">
            <xm:f>NOT(ISERROR(SEARCH($A$2,B58)))</xm:f>
            <xm:f>$A$2</xm:f>
            <x14:dxf>
              <font>
                <b val="0"/>
                <i val="0"/>
                <color rgb="FFC00000"/>
              </font>
              <fill>
                <patternFill>
                  <bgColor rgb="FFFFCCCC"/>
                </patternFill>
              </fill>
            </x14:dxf>
          </x14:cfRule>
          <x14:cfRule type="containsText" priority="147" operator="containsText" id="{6EC765BE-889D-4B40-865E-973079C3ECC4}">
            <xm:f>NOT(ISERROR(SEARCH($A$3,B58)))</xm:f>
            <xm:f>$A$3</xm:f>
            <x14:dxf>
              <font>
                <b val="0"/>
                <i val="0"/>
                <color theme="7" tint="-0.499984740745262"/>
              </font>
              <fill>
                <patternFill>
                  <bgColor theme="7" tint="0.59996337778862885"/>
                </patternFill>
              </fill>
            </x14:dxf>
          </x14:cfRule>
          <xm:sqref>B58</xm:sqref>
        </x14:conditionalFormatting>
        <x14:conditionalFormatting xmlns:xm="http://schemas.microsoft.com/office/excel/2006/main">
          <x14:cfRule type="containsText" priority="142" operator="containsText" id="{5A79769A-4FA5-4FDD-A14B-D32FE5A30509}">
            <xm:f>NOT(ISERROR(SEARCH($A$1,B59)))</xm:f>
            <xm:f>$A$1</xm:f>
            <x14:dxf>
              <font>
                <b val="0"/>
                <i val="0"/>
                <color theme="9" tint="-0.499984740745262"/>
              </font>
              <fill>
                <patternFill>
                  <bgColor theme="9" tint="0.59996337778862885"/>
                </patternFill>
              </fill>
            </x14:dxf>
          </x14:cfRule>
          <x14:cfRule type="containsText" priority="143" operator="containsText" id="{EFBCAF25-3D58-440D-9DC7-9260579C77A7}">
            <xm:f>NOT(ISERROR(SEARCH($A$2,B59)))</xm:f>
            <xm:f>$A$2</xm:f>
            <x14:dxf>
              <font>
                <b val="0"/>
                <i val="0"/>
                <color rgb="FFC00000"/>
              </font>
              <fill>
                <patternFill>
                  <bgColor rgb="FFFFCCCC"/>
                </patternFill>
              </fill>
            </x14:dxf>
          </x14:cfRule>
          <x14:cfRule type="containsText" priority="144" operator="containsText" id="{565A8775-02A4-4A4A-947F-7ED351890352}">
            <xm:f>NOT(ISERROR(SEARCH($A$3,B59)))</xm:f>
            <xm:f>$A$3</xm:f>
            <x14:dxf>
              <font>
                <b val="0"/>
                <i val="0"/>
                <color theme="7" tint="-0.499984740745262"/>
              </font>
              <fill>
                <patternFill>
                  <bgColor theme="7" tint="0.59996337778862885"/>
                </patternFill>
              </fill>
            </x14:dxf>
          </x14:cfRule>
          <xm:sqref>B59</xm:sqref>
        </x14:conditionalFormatting>
        <x14:conditionalFormatting xmlns:xm="http://schemas.microsoft.com/office/excel/2006/main">
          <x14:cfRule type="containsText" priority="133" operator="containsText" id="{AE852FE7-A1E4-44A9-9617-BFAB9B040328}">
            <xm:f>NOT(ISERROR(SEARCH($A$1,B60)))</xm:f>
            <xm:f>$A$1</xm:f>
            <x14:dxf>
              <font>
                <b val="0"/>
                <i val="0"/>
                <color theme="9" tint="-0.499984740745262"/>
              </font>
              <fill>
                <patternFill>
                  <bgColor theme="9" tint="0.59996337778862885"/>
                </patternFill>
              </fill>
            </x14:dxf>
          </x14:cfRule>
          <x14:cfRule type="containsText" priority="134" operator="containsText" id="{97259645-4E57-4959-9211-3F0FF5F0B1A6}">
            <xm:f>NOT(ISERROR(SEARCH($A$2,B60)))</xm:f>
            <xm:f>$A$2</xm:f>
            <x14:dxf>
              <font>
                <b val="0"/>
                <i val="0"/>
                <color rgb="FFC00000"/>
              </font>
              <fill>
                <patternFill>
                  <bgColor rgb="FFFFCCCC"/>
                </patternFill>
              </fill>
            </x14:dxf>
          </x14:cfRule>
          <x14:cfRule type="containsText" priority="135" operator="containsText" id="{A864FAAD-2DE1-48C4-8C7D-5307BCF2F5B8}">
            <xm:f>NOT(ISERROR(SEARCH($A$3,B60)))</xm:f>
            <xm:f>$A$3</xm:f>
            <x14:dxf>
              <font>
                <b val="0"/>
                <i val="0"/>
                <color theme="7" tint="-0.499984740745262"/>
              </font>
              <fill>
                <patternFill>
                  <bgColor theme="7" tint="0.59996337778862885"/>
                </patternFill>
              </fill>
            </x14:dxf>
          </x14:cfRule>
          <xm:sqref>B60</xm:sqref>
        </x14:conditionalFormatting>
        <x14:conditionalFormatting xmlns:xm="http://schemas.microsoft.com/office/excel/2006/main">
          <x14:cfRule type="containsText" priority="130" operator="containsText" id="{B908E63A-14B7-4075-A310-802543224ED0}">
            <xm:f>NOT(ISERROR(SEARCH($A$1,B61)))</xm:f>
            <xm:f>$A$1</xm:f>
            <x14:dxf>
              <font>
                <b val="0"/>
                <i val="0"/>
                <color theme="9" tint="-0.499984740745262"/>
              </font>
              <fill>
                <patternFill>
                  <bgColor theme="9" tint="0.59996337778862885"/>
                </patternFill>
              </fill>
            </x14:dxf>
          </x14:cfRule>
          <x14:cfRule type="containsText" priority="131" operator="containsText" id="{C493B4E0-D21E-4D74-8CDE-7A4B24E27E18}">
            <xm:f>NOT(ISERROR(SEARCH($A$2,B61)))</xm:f>
            <xm:f>$A$2</xm:f>
            <x14:dxf>
              <font>
                <b val="0"/>
                <i val="0"/>
                <color rgb="FFC00000"/>
              </font>
              <fill>
                <patternFill>
                  <bgColor rgb="FFFFCCCC"/>
                </patternFill>
              </fill>
            </x14:dxf>
          </x14:cfRule>
          <x14:cfRule type="containsText" priority="132" operator="containsText" id="{463A5504-55B1-4E79-9690-567ED86BCD82}">
            <xm:f>NOT(ISERROR(SEARCH($A$3,B61)))</xm:f>
            <xm:f>$A$3</xm:f>
            <x14:dxf>
              <font>
                <b val="0"/>
                <i val="0"/>
                <color theme="7" tint="-0.499984740745262"/>
              </font>
              <fill>
                <patternFill>
                  <bgColor theme="7" tint="0.59996337778862885"/>
                </patternFill>
              </fill>
            </x14:dxf>
          </x14:cfRule>
          <xm:sqref>B61</xm:sqref>
        </x14:conditionalFormatting>
        <x14:conditionalFormatting xmlns:xm="http://schemas.microsoft.com/office/excel/2006/main">
          <x14:cfRule type="containsText" priority="127" operator="containsText" id="{02664055-DA93-4BFA-A501-A959A0DC3A3B}">
            <xm:f>NOT(ISERROR(SEARCH($A$1,B13)))</xm:f>
            <xm:f>$A$1</xm:f>
            <x14:dxf>
              <font>
                <b val="0"/>
                <i val="0"/>
                <color theme="9" tint="-0.499984740745262"/>
              </font>
              <fill>
                <patternFill>
                  <bgColor theme="9" tint="0.59996337778862885"/>
                </patternFill>
              </fill>
            </x14:dxf>
          </x14:cfRule>
          <x14:cfRule type="containsText" priority="128" operator="containsText" id="{BDFEEB31-98DE-465C-A559-FE79F1324A24}">
            <xm:f>NOT(ISERROR(SEARCH($A$2,B13)))</xm:f>
            <xm:f>$A$2</xm:f>
            <x14:dxf>
              <font>
                <b val="0"/>
                <i val="0"/>
                <color rgb="FFC00000"/>
              </font>
              <fill>
                <patternFill>
                  <bgColor rgb="FFFFCCCC"/>
                </patternFill>
              </fill>
            </x14:dxf>
          </x14:cfRule>
          <x14:cfRule type="containsText" priority="129" operator="containsText" id="{4AC26919-62AA-493D-8A4E-905EF658FA2A}">
            <xm:f>NOT(ISERROR(SEARCH($A$3,B13)))</xm:f>
            <xm:f>$A$3</xm:f>
            <x14:dxf>
              <font>
                <b val="0"/>
                <i val="0"/>
                <color theme="7" tint="-0.499984740745262"/>
              </font>
              <fill>
                <patternFill>
                  <bgColor theme="7" tint="0.59996337778862885"/>
                </patternFill>
              </fill>
            </x14:dxf>
          </x14:cfRule>
          <xm:sqref>B13</xm:sqref>
        </x14:conditionalFormatting>
        <x14:conditionalFormatting xmlns:xm="http://schemas.microsoft.com/office/excel/2006/main">
          <x14:cfRule type="containsText" priority="124" operator="containsText" id="{435F014F-9CAC-47A8-B042-D9EF73DF11C0}">
            <xm:f>NOT(ISERROR(SEARCH($A$1,B15)))</xm:f>
            <xm:f>$A$1</xm:f>
            <x14:dxf>
              <font>
                <b val="0"/>
                <i val="0"/>
                <color theme="9" tint="-0.499984740745262"/>
              </font>
              <fill>
                <patternFill>
                  <bgColor theme="9" tint="0.59996337778862885"/>
                </patternFill>
              </fill>
            </x14:dxf>
          </x14:cfRule>
          <x14:cfRule type="containsText" priority="125" operator="containsText" id="{47A303A7-6C61-4EC5-8FEF-4CE8F597B5C1}">
            <xm:f>NOT(ISERROR(SEARCH($A$2,B15)))</xm:f>
            <xm:f>$A$2</xm:f>
            <x14:dxf>
              <font>
                <b val="0"/>
                <i val="0"/>
                <color rgb="FFC00000"/>
              </font>
              <fill>
                <patternFill>
                  <bgColor rgb="FFFFCCCC"/>
                </patternFill>
              </fill>
            </x14:dxf>
          </x14:cfRule>
          <x14:cfRule type="containsText" priority="126" operator="containsText" id="{B53F2EFA-BF1B-4B4B-A641-F541424F521C}">
            <xm:f>NOT(ISERROR(SEARCH($A$3,B15)))</xm:f>
            <xm:f>$A$3</xm:f>
            <x14:dxf>
              <font>
                <b val="0"/>
                <i val="0"/>
                <color theme="7" tint="-0.499984740745262"/>
              </font>
              <fill>
                <patternFill>
                  <bgColor theme="7" tint="0.59996337778862885"/>
                </patternFill>
              </fill>
            </x14:dxf>
          </x14:cfRule>
          <xm:sqref>B15</xm:sqref>
        </x14:conditionalFormatting>
        <x14:conditionalFormatting xmlns:xm="http://schemas.microsoft.com/office/excel/2006/main">
          <x14:cfRule type="containsText" priority="112" operator="containsText" id="{C095F3DC-E02C-43A3-95C7-6360C1C5F32E}">
            <xm:f>NOT(ISERROR(SEARCH($A$1,B9)))</xm:f>
            <xm:f>$A$1</xm:f>
            <x14:dxf>
              <font>
                <b val="0"/>
                <i val="0"/>
                <color theme="9" tint="-0.499984740745262"/>
              </font>
              <fill>
                <patternFill>
                  <bgColor theme="9" tint="0.59996337778862885"/>
                </patternFill>
              </fill>
            </x14:dxf>
          </x14:cfRule>
          <x14:cfRule type="containsText" priority="113" operator="containsText" id="{F14E643F-6D9C-4C45-BCBC-DA826EEAAF77}">
            <xm:f>NOT(ISERROR(SEARCH($A$2,B9)))</xm:f>
            <xm:f>$A$2</xm:f>
            <x14:dxf>
              <font>
                <b val="0"/>
                <i val="0"/>
                <color rgb="FFC00000"/>
              </font>
              <fill>
                <patternFill>
                  <bgColor rgb="FFFFCCCC"/>
                </patternFill>
              </fill>
            </x14:dxf>
          </x14:cfRule>
          <x14:cfRule type="containsText" priority="114" operator="containsText" id="{66761060-4022-4E31-B192-C300E7B91FC5}">
            <xm:f>NOT(ISERROR(SEARCH($A$3,B9)))</xm:f>
            <xm:f>$A$3</xm:f>
            <x14:dxf>
              <font>
                <b val="0"/>
                <i val="0"/>
                <color theme="7" tint="-0.499984740745262"/>
              </font>
              <fill>
                <patternFill>
                  <bgColor theme="7" tint="0.59996337778862885"/>
                </patternFill>
              </fill>
            </x14:dxf>
          </x14:cfRule>
          <xm:sqref>B9</xm:sqref>
        </x14:conditionalFormatting>
        <x14:conditionalFormatting xmlns:xm="http://schemas.microsoft.com/office/excel/2006/main">
          <x14:cfRule type="containsText" priority="103" operator="containsText" id="{A0C8BA73-C533-4AC8-B863-659C85FB716F}">
            <xm:f>NOT(ISERROR(SEARCH($A$1,B12)))</xm:f>
            <xm:f>$A$1</xm:f>
            <x14:dxf>
              <font>
                <b val="0"/>
                <i val="0"/>
                <color theme="9" tint="-0.499984740745262"/>
              </font>
              <fill>
                <patternFill>
                  <bgColor theme="9" tint="0.59996337778862885"/>
                </patternFill>
              </fill>
            </x14:dxf>
          </x14:cfRule>
          <x14:cfRule type="containsText" priority="104" operator="containsText" id="{D6BD49AC-0942-48D3-B26F-0A544A99038C}">
            <xm:f>NOT(ISERROR(SEARCH($A$2,B12)))</xm:f>
            <xm:f>$A$2</xm:f>
            <x14:dxf>
              <font>
                <b val="0"/>
                <i val="0"/>
                <color rgb="FFC00000"/>
              </font>
              <fill>
                <patternFill>
                  <bgColor rgb="FFFFCCCC"/>
                </patternFill>
              </fill>
            </x14:dxf>
          </x14:cfRule>
          <x14:cfRule type="containsText" priority="105" operator="containsText" id="{FFDBC9C0-F2A1-40C4-9DBA-4E0F58C6DC14}">
            <xm:f>NOT(ISERROR(SEARCH($A$3,B12)))</xm:f>
            <xm:f>$A$3</xm:f>
            <x14:dxf>
              <font>
                <b val="0"/>
                <i val="0"/>
                <color theme="7" tint="-0.499984740745262"/>
              </font>
              <fill>
                <patternFill>
                  <bgColor theme="7" tint="0.59996337778862885"/>
                </patternFill>
              </fill>
            </x14:dxf>
          </x14:cfRule>
          <xm:sqref>B12</xm:sqref>
        </x14:conditionalFormatting>
        <x14:conditionalFormatting xmlns:xm="http://schemas.microsoft.com/office/excel/2006/main">
          <x14:cfRule type="containsText" priority="94" operator="containsText" id="{603F8DB8-557B-40E3-95D5-4C8F62E3E956}">
            <xm:f>NOT(ISERROR(SEARCH($A$1,B11)))</xm:f>
            <xm:f>$A$1</xm:f>
            <x14:dxf>
              <font>
                <b val="0"/>
                <i val="0"/>
                <color theme="9" tint="-0.499984740745262"/>
              </font>
              <fill>
                <patternFill>
                  <bgColor theme="9" tint="0.59996337778862885"/>
                </patternFill>
              </fill>
            </x14:dxf>
          </x14:cfRule>
          <x14:cfRule type="containsText" priority="95" operator="containsText" id="{C5CA3FD6-2ACC-4134-A783-61ED8E92D016}">
            <xm:f>NOT(ISERROR(SEARCH($A$2,B11)))</xm:f>
            <xm:f>$A$2</xm:f>
            <x14:dxf>
              <font>
                <b val="0"/>
                <i val="0"/>
                <color rgb="FFC00000"/>
              </font>
              <fill>
                <patternFill>
                  <bgColor rgb="FFFFCCCC"/>
                </patternFill>
              </fill>
            </x14:dxf>
          </x14:cfRule>
          <x14:cfRule type="containsText" priority="96" operator="containsText" id="{44B27EDC-D95D-4153-BE7E-85ADFF2EBAF4}">
            <xm:f>NOT(ISERROR(SEARCH($A$3,B11)))</xm:f>
            <xm:f>$A$3</xm:f>
            <x14:dxf>
              <font>
                <b val="0"/>
                <i val="0"/>
                <color theme="7" tint="-0.499984740745262"/>
              </font>
              <fill>
                <patternFill>
                  <bgColor theme="7" tint="0.59996337778862885"/>
                </patternFill>
              </fill>
            </x14:dxf>
          </x14:cfRule>
          <xm:sqref>B11</xm:sqref>
        </x14:conditionalFormatting>
        <x14:conditionalFormatting xmlns:xm="http://schemas.microsoft.com/office/excel/2006/main">
          <x14:cfRule type="containsText" priority="91" operator="containsText" id="{E816BDE2-F1DD-4C52-9690-CDE9F2F63605}">
            <xm:f>NOT(ISERROR(SEARCH($A$1,B52)))</xm:f>
            <xm:f>$A$1</xm:f>
            <x14:dxf>
              <font>
                <b val="0"/>
                <i val="0"/>
                <color theme="9" tint="-0.499984740745262"/>
              </font>
              <fill>
                <patternFill>
                  <bgColor theme="9" tint="0.59996337778862885"/>
                </patternFill>
              </fill>
            </x14:dxf>
          </x14:cfRule>
          <x14:cfRule type="containsText" priority="92" operator="containsText" id="{44A25EFC-B079-4A46-9483-DD099C881590}">
            <xm:f>NOT(ISERROR(SEARCH($A$2,B52)))</xm:f>
            <xm:f>$A$2</xm:f>
            <x14:dxf>
              <font>
                <b val="0"/>
                <i val="0"/>
                <color rgb="FFC00000"/>
              </font>
              <fill>
                <patternFill>
                  <bgColor rgb="FFFFCCCC"/>
                </patternFill>
              </fill>
            </x14:dxf>
          </x14:cfRule>
          <x14:cfRule type="containsText" priority="93" operator="containsText" id="{F8139984-61D5-46B6-AD0F-13FAEBA8686E}">
            <xm:f>NOT(ISERROR(SEARCH($A$3,B52)))</xm:f>
            <xm:f>$A$3</xm:f>
            <x14:dxf>
              <font>
                <b val="0"/>
                <i val="0"/>
                <color theme="7" tint="-0.499984740745262"/>
              </font>
              <fill>
                <patternFill>
                  <bgColor theme="7" tint="0.59996337778862885"/>
                </patternFill>
              </fill>
            </x14:dxf>
          </x14:cfRule>
          <xm:sqref>B52</xm:sqref>
        </x14:conditionalFormatting>
        <x14:conditionalFormatting xmlns:xm="http://schemas.microsoft.com/office/excel/2006/main">
          <x14:cfRule type="containsText" priority="88" operator="containsText" id="{4444FDDC-F2D5-4375-BCB4-D507780E9B07}">
            <xm:f>NOT(ISERROR(SEARCH($A$1,B53)))</xm:f>
            <xm:f>$A$1</xm:f>
            <x14:dxf>
              <font>
                <b val="0"/>
                <i val="0"/>
                <color theme="9" tint="-0.499984740745262"/>
              </font>
              <fill>
                <patternFill>
                  <bgColor theme="9" tint="0.59996337778862885"/>
                </patternFill>
              </fill>
            </x14:dxf>
          </x14:cfRule>
          <x14:cfRule type="containsText" priority="89" operator="containsText" id="{57591AD6-3052-4917-878E-DBDD57E68753}">
            <xm:f>NOT(ISERROR(SEARCH($A$2,B53)))</xm:f>
            <xm:f>$A$2</xm:f>
            <x14:dxf>
              <font>
                <b val="0"/>
                <i val="0"/>
                <color rgb="FFC00000"/>
              </font>
              <fill>
                <patternFill>
                  <bgColor rgb="FFFFCCCC"/>
                </patternFill>
              </fill>
            </x14:dxf>
          </x14:cfRule>
          <x14:cfRule type="containsText" priority="90" operator="containsText" id="{BD527847-5452-46AA-9DF4-EC99F4F5D583}">
            <xm:f>NOT(ISERROR(SEARCH($A$3,B53)))</xm:f>
            <xm:f>$A$3</xm:f>
            <x14:dxf>
              <font>
                <b val="0"/>
                <i val="0"/>
                <color theme="7" tint="-0.499984740745262"/>
              </font>
              <fill>
                <patternFill>
                  <bgColor theme="7" tint="0.59996337778862885"/>
                </patternFill>
              </fill>
            </x14:dxf>
          </x14:cfRule>
          <xm:sqref>B53</xm:sqref>
        </x14:conditionalFormatting>
        <x14:conditionalFormatting xmlns:xm="http://schemas.microsoft.com/office/excel/2006/main">
          <x14:cfRule type="containsText" priority="85" operator="containsText" id="{24908F3B-A888-473E-BCD9-31F306F8AAB9}">
            <xm:f>NOT(ISERROR(SEARCH($A$1,B28)))</xm:f>
            <xm:f>$A$1</xm:f>
            <x14:dxf>
              <font>
                <b val="0"/>
                <i val="0"/>
                <color theme="9" tint="-0.499984740745262"/>
              </font>
              <fill>
                <patternFill>
                  <bgColor theme="9" tint="0.59996337778862885"/>
                </patternFill>
              </fill>
            </x14:dxf>
          </x14:cfRule>
          <x14:cfRule type="containsText" priority="86" operator="containsText" id="{715AAE3B-A1F2-40DC-9132-BF1453346A54}">
            <xm:f>NOT(ISERROR(SEARCH($A$2,B28)))</xm:f>
            <xm:f>$A$2</xm:f>
            <x14:dxf>
              <font>
                <b val="0"/>
                <i val="0"/>
                <color rgb="FFC00000"/>
              </font>
              <fill>
                <patternFill>
                  <bgColor rgb="FFFFCCCC"/>
                </patternFill>
              </fill>
            </x14:dxf>
          </x14:cfRule>
          <x14:cfRule type="containsText" priority="87" operator="containsText" id="{E7DACC8A-90C5-4F6E-BDBA-0DC4019075CB}">
            <xm:f>NOT(ISERROR(SEARCH($A$3,B28)))</xm:f>
            <xm:f>$A$3</xm:f>
            <x14:dxf>
              <font>
                <b val="0"/>
                <i val="0"/>
                <color theme="7" tint="-0.499984740745262"/>
              </font>
              <fill>
                <patternFill>
                  <bgColor theme="7" tint="0.59996337778862885"/>
                </patternFill>
              </fill>
            </x14:dxf>
          </x14:cfRule>
          <xm:sqref>B28</xm:sqref>
        </x14:conditionalFormatting>
        <x14:conditionalFormatting xmlns:xm="http://schemas.microsoft.com/office/excel/2006/main">
          <x14:cfRule type="containsText" priority="82" operator="containsText" id="{404D3932-9DB0-4F22-8905-2F63B7A4C98A}">
            <xm:f>NOT(ISERROR(SEARCH($A$1,B29)))</xm:f>
            <xm:f>$A$1</xm:f>
            <x14:dxf>
              <font>
                <b val="0"/>
                <i val="0"/>
                <color theme="9" tint="-0.499984740745262"/>
              </font>
              <fill>
                <patternFill>
                  <bgColor theme="9" tint="0.59996337778862885"/>
                </patternFill>
              </fill>
            </x14:dxf>
          </x14:cfRule>
          <x14:cfRule type="containsText" priority="83" operator="containsText" id="{EE331D20-25C6-44C1-BDF1-0FC06F8EB8C6}">
            <xm:f>NOT(ISERROR(SEARCH($A$2,B29)))</xm:f>
            <xm:f>$A$2</xm:f>
            <x14:dxf>
              <font>
                <b val="0"/>
                <i val="0"/>
                <color rgb="FFC00000"/>
              </font>
              <fill>
                <patternFill>
                  <bgColor rgb="FFFFCCCC"/>
                </patternFill>
              </fill>
            </x14:dxf>
          </x14:cfRule>
          <x14:cfRule type="containsText" priority="84" operator="containsText" id="{AA95333E-0F9F-4D8C-9C0C-3D317E41111D}">
            <xm:f>NOT(ISERROR(SEARCH($A$3,B29)))</xm:f>
            <xm:f>$A$3</xm:f>
            <x14:dxf>
              <font>
                <b val="0"/>
                <i val="0"/>
                <color theme="7" tint="-0.499984740745262"/>
              </font>
              <fill>
                <patternFill>
                  <bgColor theme="7" tint="0.59996337778862885"/>
                </patternFill>
              </fill>
            </x14:dxf>
          </x14:cfRule>
          <xm:sqref>B29</xm:sqref>
        </x14:conditionalFormatting>
        <x14:conditionalFormatting xmlns:xm="http://schemas.microsoft.com/office/excel/2006/main">
          <x14:cfRule type="containsText" priority="79" operator="containsText" id="{D48AE018-B9B8-4117-A214-14C161F2DE0B}">
            <xm:f>NOT(ISERROR(SEARCH($A$1,B30)))</xm:f>
            <xm:f>$A$1</xm:f>
            <x14:dxf>
              <font>
                <b val="0"/>
                <i val="0"/>
                <color theme="9" tint="-0.499984740745262"/>
              </font>
              <fill>
                <patternFill>
                  <bgColor theme="9" tint="0.59996337778862885"/>
                </patternFill>
              </fill>
            </x14:dxf>
          </x14:cfRule>
          <x14:cfRule type="containsText" priority="80" operator="containsText" id="{FFFF6B62-9396-4913-A0EC-400F3BFC3BB6}">
            <xm:f>NOT(ISERROR(SEARCH($A$2,B30)))</xm:f>
            <xm:f>$A$2</xm:f>
            <x14:dxf>
              <font>
                <b val="0"/>
                <i val="0"/>
                <color rgb="FFC00000"/>
              </font>
              <fill>
                <patternFill>
                  <bgColor rgb="FFFFCCCC"/>
                </patternFill>
              </fill>
            </x14:dxf>
          </x14:cfRule>
          <x14:cfRule type="containsText" priority="81" operator="containsText" id="{B5996364-C43B-4688-B9F4-39BD389281E8}">
            <xm:f>NOT(ISERROR(SEARCH($A$3,B30)))</xm:f>
            <xm:f>$A$3</xm:f>
            <x14:dxf>
              <font>
                <b val="0"/>
                <i val="0"/>
                <color theme="7" tint="-0.499984740745262"/>
              </font>
              <fill>
                <patternFill>
                  <bgColor theme="7" tint="0.59996337778862885"/>
                </patternFill>
              </fill>
            </x14:dxf>
          </x14:cfRule>
          <xm:sqref>B30</xm:sqref>
        </x14:conditionalFormatting>
        <x14:conditionalFormatting xmlns:xm="http://schemas.microsoft.com/office/excel/2006/main">
          <x14:cfRule type="containsText" priority="67" operator="containsText" id="{BF786E32-B3ED-4356-8EBA-0A531912FC3D}">
            <xm:f>NOT(ISERROR(SEARCH($A$1,B35)))</xm:f>
            <xm:f>$A$1</xm:f>
            <x14:dxf>
              <font>
                <b val="0"/>
                <i val="0"/>
                <color theme="9" tint="-0.499984740745262"/>
              </font>
              <fill>
                <patternFill>
                  <bgColor theme="9" tint="0.59996337778862885"/>
                </patternFill>
              </fill>
            </x14:dxf>
          </x14:cfRule>
          <x14:cfRule type="containsText" priority="68" operator="containsText" id="{15626486-5A07-4E45-AFA3-0C03E0B87D1C}">
            <xm:f>NOT(ISERROR(SEARCH($A$2,B35)))</xm:f>
            <xm:f>$A$2</xm:f>
            <x14:dxf>
              <font>
                <b val="0"/>
                <i val="0"/>
                <color rgb="FFC00000"/>
              </font>
              <fill>
                <patternFill>
                  <bgColor rgb="FFFFCCCC"/>
                </patternFill>
              </fill>
            </x14:dxf>
          </x14:cfRule>
          <x14:cfRule type="containsText" priority="69" operator="containsText" id="{79294861-21DC-4807-B1B4-E8157F806B57}">
            <xm:f>NOT(ISERROR(SEARCH($A$3,B35)))</xm:f>
            <xm:f>$A$3</xm:f>
            <x14:dxf>
              <font>
                <b val="0"/>
                <i val="0"/>
                <color theme="7" tint="-0.499984740745262"/>
              </font>
              <fill>
                <patternFill>
                  <bgColor theme="7" tint="0.59996337778862885"/>
                </patternFill>
              </fill>
            </x14:dxf>
          </x14:cfRule>
          <xm:sqref>B35:B36</xm:sqref>
        </x14:conditionalFormatting>
        <x14:conditionalFormatting xmlns:xm="http://schemas.microsoft.com/office/excel/2006/main">
          <x14:cfRule type="containsText" priority="64" operator="containsText" id="{530DB065-5679-46EE-8116-CA2AF14B189D}">
            <xm:f>NOT(ISERROR(SEARCH($A$1,B37)))</xm:f>
            <xm:f>$A$1</xm:f>
            <x14:dxf>
              <font>
                <b val="0"/>
                <i val="0"/>
                <color theme="9" tint="-0.499984740745262"/>
              </font>
              <fill>
                <patternFill>
                  <bgColor theme="9" tint="0.59996337778862885"/>
                </patternFill>
              </fill>
            </x14:dxf>
          </x14:cfRule>
          <x14:cfRule type="containsText" priority="65" operator="containsText" id="{CC9A0013-515F-4E52-A0B0-91E7063515E0}">
            <xm:f>NOT(ISERROR(SEARCH($A$2,B37)))</xm:f>
            <xm:f>$A$2</xm:f>
            <x14:dxf>
              <font>
                <b val="0"/>
                <i val="0"/>
                <color rgb="FFC00000"/>
              </font>
              <fill>
                <patternFill>
                  <bgColor rgb="FFFFCCCC"/>
                </patternFill>
              </fill>
            </x14:dxf>
          </x14:cfRule>
          <x14:cfRule type="containsText" priority="66" operator="containsText" id="{8AD1D261-BE61-47A8-BA1E-8FC769FCED18}">
            <xm:f>NOT(ISERROR(SEARCH($A$3,B37)))</xm:f>
            <xm:f>$A$3</xm:f>
            <x14:dxf>
              <font>
                <b val="0"/>
                <i val="0"/>
                <color theme="7" tint="-0.499984740745262"/>
              </font>
              <fill>
                <patternFill>
                  <bgColor theme="7" tint="0.59996337778862885"/>
                </patternFill>
              </fill>
            </x14:dxf>
          </x14:cfRule>
          <xm:sqref>B37</xm:sqref>
        </x14:conditionalFormatting>
        <x14:conditionalFormatting xmlns:xm="http://schemas.microsoft.com/office/excel/2006/main">
          <x14:cfRule type="containsText" priority="61" operator="containsText" id="{28DEAB5F-A0B2-419A-AE47-B404120947BA}">
            <xm:f>NOT(ISERROR(SEARCH($A$1,B38)))</xm:f>
            <xm:f>$A$1</xm:f>
            <x14:dxf>
              <font>
                <b val="0"/>
                <i val="0"/>
                <color theme="9" tint="-0.499984740745262"/>
              </font>
              <fill>
                <patternFill>
                  <bgColor theme="9" tint="0.59996337778862885"/>
                </patternFill>
              </fill>
            </x14:dxf>
          </x14:cfRule>
          <x14:cfRule type="containsText" priority="62" operator="containsText" id="{0CD78694-EF6F-45E1-9EDD-AFFED6742A7D}">
            <xm:f>NOT(ISERROR(SEARCH($A$2,B38)))</xm:f>
            <xm:f>$A$2</xm:f>
            <x14:dxf>
              <font>
                <b val="0"/>
                <i val="0"/>
                <color rgb="FFC00000"/>
              </font>
              <fill>
                <patternFill>
                  <bgColor rgb="FFFFCCCC"/>
                </patternFill>
              </fill>
            </x14:dxf>
          </x14:cfRule>
          <x14:cfRule type="containsText" priority="63" operator="containsText" id="{09C77FCD-C271-497E-85D7-EDBA4D84BF70}">
            <xm:f>NOT(ISERROR(SEARCH($A$3,B38)))</xm:f>
            <xm:f>$A$3</xm:f>
            <x14:dxf>
              <font>
                <b val="0"/>
                <i val="0"/>
                <color theme="7" tint="-0.499984740745262"/>
              </font>
              <fill>
                <patternFill>
                  <bgColor theme="7" tint="0.59996337778862885"/>
                </patternFill>
              </fill>
            </x14:dxf>
          </x14:cfRule>
          <xm:sqref>B38</xm:sqref>
        </x14:conditionalFormatting>
        <x14:conditionalFormatting xmlns:xm="http://schemas.microsoft.com/office/excel/2006/main">
          <x14:cfRule type="containsText" priority="58" operator="containsText" id="{7650275B-6EDE-46DC-92E4-7250E3D783A7}">
            <xm:f>NOT(ISERROR(SEARCH($A$1,B39)))</xm:f>
            <xm:f>$A$1</xm:f>
            <x14:dxf>
              <font>
                <b val="0"/>
                <i val="0"/>
                <color theme="9" tint="-0.499984740745262"/>
              </font>
              <fill>
                <patternFill>
                  <bgColor theme="9" tint="0.59996337778862885"/>
                </patternFill>
              </fill>
            </x14:dxf>
          </x14:cfRule>
          <x14:cfRule type="containsText" priority="59" operator="containsText" id="{8A444717-AE37-4F6F-A94B-B06FCAC1CC3C}">
            <xm:f>NOT(ISERROR(SEARCH($A$2,B39)))</xm:f>
            <xm:f>$A$2</xm:f>
            <x14:dxf>
              <font>
                <b val="0"/>
                <i val="0"/>
                <color rgb="FFC00000"/>
              </font>
              <fill>
                <patternFill>
                  <bgColor rgb="FFFFCCCC"/>
                </patternFill>
              </fill>
            </x14:dxf>
          </x14:cfRule>
          <x14:cfRule type="containsText" priority="60" operator="containsText" id="{035A16E6-C66C-420C-9B38-490AEB1CF85A}">
            <xm:f>NOT(ISERROR(SEARCH($A$3,B39)))</xm:f>
            <xm:f>$A$3</xm:f>
            <x14:dxf>
              <font>
                <b val="0"/>
                <i val="0"/>
                <color theme="7" tint="-0.499984740745262"/>
              </font>
              <fill>
                <patternFill>
                  <bgColor theme="7" tint="0.59996337778862885"/>
                </patternFill>
              </fill>
            </x14:dxf>
          </x14:cfRule>
          <xm:sqref>B39</xm:sqref>
        </x14:conditionalFormatting>
        <x14:conditionalFormatting xmlns:xm="http://schemas.microsoft.com/office/excel/2006/main">
          <x14:cfRule type="containsText" priority="55" operator="containsText" id="{636C58F8-0983-434C-8A60-1DE494005429}">
            <xm:f>NOT(ISERROR(SEARCH($A$1,B40)))</xm:f>
            <xm:f>$A$1</xm:f>
            <x14:dxf>
              <font>
                <b val="0"/>
                <i val="0"/>
                <color theme="9" tint="-0.499984740745262"/>
              </font>
              <fill>
                <patternFill>
                  <bgColor theme="9" tint="0.59996337778862885"/>
                </patternFill>
              </fill>
            </x14:dxf>
          </x14:cfRule>
          <x14:cfRule type="containsText" priority="56" operator="containsText" id="{41B00999-8217-4160-81CC-1E4C7A0F20DE}">
            <xm:f>NOT(ISERROR(SEARCH($A$2,B40)))</xm:f>
            <xm:f>$A$2</xm:f>
            <x14:dxf>
              <font>
                <b val="0"/>
                <i val="0"/>
                <color rgb="FFC00000"/>
              </font>
              <fill>
                <patternFill>
                  <bgColor rgb="FFFFCCCC"/>
                </patternFill>
              </fill>
            </x14:dxf>
          </x14:cfRule>
          <x14:cfRule type="containsText" priority="57" operator="containsText" id="{6106B684-EEE8-4DF4-AB3E-2202C1C50895}">
            <xm:f>NOT(ISERROR(SEARCH($A$3,B40)))</xm:f>
            <xm:f>$A$3</xm:f>
            <x14:dxf>
              <font>
                <b val="0"/>
                <i val="0"/>
                <color theme="7" tint="-0.499984740745262"/>
              </font>
              <fill>
                <patternFill>
                  <bgColor theme="7" tint="0.59996337778862885"/>
                </patternFill>
              </fill>
            </x14:dxf>
          </x14:cfRule>
          <xm:sqref>B40</xm:sqref>
        </x14:conditionalFormatting>
        <x14:conditionalFormatting xmlns:xm="http://schemas.microsoft.com/office/excel/2006/main">
          <x14:cfRule type="containsText" priority="52" operator="containsText" id="{EC85B8A0-CDE5-4EBD-8988-2607B0CA6C75}">
            <xm:f>NOT(ISERROR(SEARCH($A$1,B41)))</xm:f>
            <xm:f>$A$1</xm:f>
            <x14:dxf>
              <font>
                <b val="0"/>
                <i val="0"/>
                <color theme="9" tint="-0.499984740745262"/>
              </font>
              <fill>
                <patternFill>
                  <bgColor theme="9" tint="0.59996337778862885"/>
                </patternFill>
              </fill>
            </x14:dxf>
          </x14:cfRule>
          <x14:cfRule type="containsText" priority="53" operator="containsText" id="{106615A1-0ED4-4003-B28A-D0EB5685AC4F}">
            <xm:f>NOT(ISERROR(SEARCH($A$2,B41)))</xm:f>
            <xm:f>$A$2</xm:f>
            <x14:dxf>
              <font>
                <b val="0"/>
                <i val="0"/>
                <color rgb="FFC00000"/>
              </font>
              <fill>
                <patternFill>
                  <bgColor rgb="FFFFCCCC"/>
                </patternFill>
              </fill>
            </x14:dxf>
          </x14:cfRule>
          <x14:cfRule type="containsText" priority="54" operator="containsText" id="{07E76DE8-CF7F-4BFE-AEEA-651B123194A4}">
            <xm:f>NOT(ISERROR(SEARCH($A$3,B41)))</xm:f>
            <xm:f>$A$3</xm:f>
            <x14:dxf>
              <font>
                <b val="0"/>
                <i val="0"/>
                <color theme="7" tint="-0.499984740745262"/>
              </font>
              <fill>
                <patternFill>
                  <bgColor theme="7" tint="0.59996337778862885"/>
                </patternFill>
              </fill>
            </x14:dxf>
          </x14:cfRule>
          <xm:sqref>B41</xm:sqref>
        </x14:conditionalFormatting>
        <x14:conditionalFormatting xmlns:xm="http://schemas.microsoft.com/office/excel/2006/main">
          <x14:cfRule type="containsText" priority="49" operator="containsText" id="{23777103-0DA8-44B4-80C9-9671C154E0D5}">
            <xm:f>NOT(ISERROR(SEARCH($A$1,B42)))</xm:f>
            <xm:f>$A$1</xm:f>
            <x14:dxf>
              <font>
                <b val="0"/>
                <i val="0"/>
                <color theme="9" tint="-0.499984740745262"/>
              </font>
              <fill>
                <patternFill>
                  <bgColor theme="9" tint="0.59996337778862885"/>
                </patternFill>
              </fill>
            </x14:dxf>
          </x14:cfRule>
          <x14:cfRule type="containsText" priority="50" operator="containsText" id="{B951955A-E4EC-429D-8EA8-3FE34D2F1DF9}">
            <xm:f>NOT(ISERROR(SEARCH($A$2,B42)))</xm:f>
            <xm:f>$A$2</xm:f>
            <x14:dxf>
              <font>
                <b val="0"/>
                <i val="0"/>
                <color rgb="FFC00000"/>
              </font>
              <fill>
                <patternFill>
                  <bgColor rgb="FFFFCCCC"/>
                </patternFill>
              </fill>
            </x14:dxf>
          </x14:cfRule>
          <x14:cfRule type="containsText" priority="51" operator="containsText" id="{68F41A29-D7B9-4DA3-9F41-249982D1448B}">
            <xm:f>NOT(ISERROR(SEARCH($A$3,B42)))</xm:f>
            <xm:f>$A$3</xm:f>
            <x14:dxf>
              <font>
                <b val="0"/>
                <i val="0"/>
                <color theme="7" tint="-0.499984740745262"/>
              </font>
              <fill>
                <patternFill>
                  <bgColor theme="7" tint="0.59996337778862885"/>
                </patternFill>
              </fill>
            </x14:dxf>
          </x14:cfRule>
          <xm:sqref>B42</xm:sqref>
        </x14:conditionalFormatting>
        <x14:conditionalFormatting xmlns:xm="http://schemas.microsoft.com/office/excel/2006/main">
          <x14:cfRule type="containsText" priority="46" operator="containsText" id="{13DF8305-1BCD-425E-BEFF-45A15F793FDD}">
            <xm:f>NOT(ISERROR(SEARCH($A$1,B43)))</xm:f>
            <xm:f>$A$1</xm:f>
            <x14:dxf>
              <font>
                <b val="0"/>
                <i val="0"/>
                <color theme="9" tint="-0.499984740745262"/>
              </font>
              <fill>
                <patternFill>
                  <bgColor theme="9" tint="0.59996337778862885"/>
                </patternFill>
              </fill>
            </x14:dxf>
          </x14:cfRule>
          <x14:cfRule type="containsText" priority="47" operator="containsText" id="{4FA65ABC-F8AC-4EBF-9D43-FB9E9C935602}">
            <xm:f>NOT(ISERROR(SEARCH($A$2,B43)))</xm:f>
            <xm:f>$A$2</xm:f>
            <x14:dxf>
              <font>
                <b val="0"/>
                <i val="0"/>
                <color rgb="FFC00000"/>
              </font>
              <fill>
                <patternFill>
                  <bgColor rgb="FFFFCCCC"/>
                </patternFill>
              </fill>
            </x14:dxf>
          </x14:cfRule>
          <x14:cfRule type="containsText" priority="48" operator="containsText" id="{46D66CE2-3935-4C03-A303-965BE8CDE1F1}">
            <xm:f>NOT(ISERROR(SEARCH($A$3,B43)))</xm:f>
            <xm:f>$A$3</xm:f>
            <x14:dxf>
              <font>
                <b val="0"/>
                <i val="0"/>
                <color theme="7" tint="-0.499984740745262"/>
              </font>
              <fill>
                <patternFill>
                  <bgColor theme="7" tint="0.59996337778862885"/>
                </patternFill>
              </fill>
            </x14:dxf>
          </x14:cfRule>
          <xm:sqref>B43</xm:sqref>
        </x14:conditionalFormatting>
        <x14:conditionalFormatting xmlns:xm="http://schemas.microsoft.com/office/excel/2006/main">
          <x14:cfRule type="containsText" priority="43" operator="containsText" id="{2CBE6ED5-7E12-4183-A828-DBCCB143B23D}">
            <xm:f>NOT(ISERROR(SEARCH($A$1,B44)))</xm:f>
            <xm:f>$A$1</xm:f>
            <x14:dxf>
              <font>
                <b val="0"/>
                <i val="0"/>
                <color theme="9" tint="-0.499984740745262"/>
              </font>
              <fill>
                <patternFill>
                  <bgColor theme="9" tint="0.59996337778862885"/>
                </patternFill>
              </fill>
            </x14:dxf>
          </x14:cfRule>
          <x14:cfRule type="containsText" priority="44" operator="containsText" id="{402E5A48-33CB-4B9E-99CB-1EB59ACEDAF1}">
            <xm:f>NOT(ISERROR(SEARCH($A$2,B44)))</xm:f>
            <xm:f>$A$2</xm:f>
            <x14:dxf>
              <font>
                <b val="0"/>
                <i val="0"/>
                <color rgb="FFC00000"/>
              </font>
              <fill>
                <patternFill>
                  <bgColor rgb="FFFFCCCC"/>
                </patternFill>
              </fill>
            </x14:dxf>
          </x14:cfRule>
          <x14:cfRule type="containsText" priority="45" operator="containsText" id="{86C891FA-9C07-48EA-BE84-9B1ACFC98347}">
            <xm:f>NOT(ISERROR(SEARCH($A$3,B44)))</xm:f>
            <xm:f>$A$3</xm:f>
            <x14:dxf>
              <font>
                <b val="0"/>
                <i val="0"/>
                <color theme="7" tint="-0.499984740745262"/>
              </font>
              <fill>
                <patternFill>
                  <bgColor theme="7" tint="0.59996337778862885"/>
                </patternFill>
              </fill>
            </x14:dxf>
          </x14:cfRule>
          <xm:sqref>B44</xm:sqref>
        </x14:conditionalFormatting>
        <x14:conditionalFormatting xmlns:xm="http://schemas.microsoft.com/office/excel/2006/main">
          <x14:cfRule type="containsText" priority="40" operator="containsText" id="{98F7798C-FF8A-4485-8988-FE20F5E79A2A}">
            <xm:f>NOT(ISERROR(SEARCH($A$1,B45)))</xm:f>
            <xm:f>$A$1</xm:f>
            <x14:dxf>
              <font>
                <b val="0"/>
                <i val="0"/>
                <color theme="9" tint="-0.499984740745262"/>
              </font>
              <fill>
                <patternFill>
                  <bgColor theme="9" tint="0.59996337778862885"/>
                </patternFill>
              </fill>
            </x14:dxf>
          </x14:cfRule>
          <x14:cfRule type="containsText" priority="41" operator="containsText" id="{AB7B7250-1696-41F2-8B9F-383EC0F9472C}">
            <xm:f>NOT(ISERROR(SEARCH($A$2,B45)))</xm:f>
            <xm:f>$A$2</xm:f>
            <x14:dxf>
              <font>
                <b val="0"/>
                <i val="0"/>
                <color rgb="FFC00000"/>
              </font>
              <fill>
                <patternFill>
                  <bgColor rgb="FFFFCCCC"/>
                </patternFill>
              </fill>
            </x14:dxf>
          </x14:cfRule>
          <x14:cfRule type="containsText" priority="42" operator="containsText" id="{EE7022AA-C9FA-4B3E-B5D3-1787F1C98975}">
            <xm:f>NOT(ISERROR(SEARCH($A$3,B45)))</xm:f>
            <xm:f>$A$3</xm:f>
            <x14:dxf>
              <font>
                <b val="0"/>
                <i val="0"/>
                <color theme="7" tint="-0.499984740745262"/>
              </font>
              <fill>
                <patternFill>
                  <bgColor theme="7" tint="0.59996337778862885"/>
                </patternFill>
              </fill>
            </x14:dxf>
          </x14:cfRule>
          <xm:sqref>B45</xm:sqref>
        </x14:conditionalFormatting>
        <x14:conditionalFormatting xmlns:xm="http://schemas.microsoft.com/office/excel/2006/main">
          <x14:cfRule type="containsText" priority="37" operator="containsText" id="{B5304005-A361-4F95-ABC3-47F68B379C54}">
            <xm:f>NOT(ISERROR(SEARCH($A$1,B46)))</xm:f>
            <xm:f>$A$1</xm:f>
            <x14:dxf>
              <font>
                <b val="0"/>
                <i val="0"/>
                <color theme="9" tint="-0.499984740745262"/>
              </font>
              <fill>
                <patternFill>
                  <bgColor theme="9" tint="0.59996337778862885"/>
                </patternFill>
              </fill>
            </x14:dxf>
          </x14:cfRule>
          <x14:cfRule type="containsText" priority="38" operator="containsText" id="{CD09E8A2-3648-40BF-9862-21DDD4C4BBC9}">
            <xm:f>NOT(ISERROR(SEARCH($A$2,B46)))</xm:f>
            <xm:f>$A$2</xm:f>
            <x14:dxf>
              <font>
                <b val="0"/>
                <i val="0"/>
                <color rgb="FFC00000"/>
              </font>
              <fill>
                <patternFill>
                  <bgColor rgb="FFFFCCCC"/>
                </patternFill>
              </fill>
            </x14:dxf>
          </x14:cfRule>
          <x14:cfRule type="containsText" priority="39" operator="containsText" id="{378E12A3-8281-4030-B05C-1DD74F47DB15}">
            <xm:f>NOT(ISERROR(SEARCH($A$3,B46)))</xm:f>
            <xm:f>$A$3</xm:f>
            <x14:dxf>
              <font>
                <b val="0"/>
                <i val="0"/>
                <color theme="7" tint="-0.499984740745262"/>
              </font>
              <fill>
                <patternFill>
                  <bgColor theme="7" tint="0.59996337778862885"/>
                </patternFill>
              </fill>
            </x14:dxf>
          </x14:cfRule>
          <xm:sqref>B46</xm:sqref>
        </x14:conditionalFormatting>
        <x14:conditionalFormatting xmlns:xm="http://schemas.microsoft.com/office/excel/2006/main">
          <x14:cfRule type="containsText" priority="34" operator="containsText" id="{A5F0445D-C882-4FCF-B5AF-7FA5BAEFED6C}">
            <xm:f>NOT(ISERROR(SEARCH($A$1,B47)))</xm:f>
            <xm:f>$A$1</xm:f>
            <x14:dxf>
              <font>
                <b val="0"/>
                <i val="0"/>
                <color theme="9" tint="-0.499984740745262"/>
              </font>
              <fill>
                <patternFill>
                  <bgColor theme="9" tint="0.59996337778862885"/>
                </patternFill>
              </fill>
            </x14:dxf>
          </x14:cfRule>
          <x14:cfRule type="containsText" priority="35" operator="containsText" id="{502B873B-C2D0-4EF5-B34F-6A35F8325D38}">
            <xm:f>NOT(ISERROR(SEARCH($A$2,B47)))</xm:f>
            <xm:f>$A$2</xm:f>
            <x14:dxf>
              <font>
                <b val="0"/>
                <i val="0"/>
                <color rgb="FFC00000"/>
              </font>
              <fill>
                <patternFill>
                  <bgColor rgb="FFFFCCCC"/>
                </patternFill>
              </fill>
            </x14:dxf>
          </x14:cfRule>
          <x14:cfRule type="containsText" priority="36" operator="containsText" id="{CA36024C-C3F1-4D3E-B0CB-32F363A96C7C}">
            <xm:f>NOT(ISERROR(SEARCH($A$3,B47)))</xm:f>
            <xm:f>$A$3</xm:f>
            <x14:dxf>
              <font>
                <b val="0"/>
                <i val="0"/>
                <color theme="7" tint="-0.499984740745262"/>
              </font>
              <fill>
                <patternFill>
                  <bgColor theme="7" tint="0.59996337778862885"/>
                </patternFill>
              </fill>
            </x14:dxf>
          </x14:cfRule>
          <xm:sqref>B47</xm:sqref>
        </x14:conditionalFormatting>
        <x14:conditionalFormatting xmlns:xm="http://schemas.microsoft.com/office/excel/2006/main">
          <x14:cfRule type="containsText" priority="31" operator="containsText" id="{4025F4A5-1210-4F48-87C0-3DDD31F1183D}">
            <xm:f>NOT(ISERROR(SEARCH($A$1,B48)))</xm:f>
            <xm:f>$A$1</xm:f>
            <x14:dxf>
              <font>
                <b val="0"/>
                <i val="0"/>
                <color theme="9" tint="-0.499984740745262"/>
              </font>
              <fill>
                <patternFill>
                  <bgColor theme="9" tint="0.59996337778862885"/>
                </patternFill>
              </fill>
            </x14:dxf>
          </x14:cfRule>
          <x14:cfRule type="containsText" priority="32" operator="containsText" id="{F86F7F27-D0A3-4E20-8C6E-FC470F45AE20}">
            <xm:f>NOT(ISERROR(SEARCH($A$2,B48)))</xm:f>
            <xm:f>$A$2</xm:f>
            <x14:dxf>
              <font>
                <b val="0"/>
                <i val="0"/>
                <color rgb="FFC00000"/>
              </font>
              <fill>
                <patternFill>
                  <bgColor rgb="FFFFCCCC"/>
                </patternFill>
              </fill>
            </x14:dxf>
          </x14:cfRule>
          <x14:cfRule type="containsText" priority="33" operator="containsText" id="{54533024-FD33-4481-8CE2-7711D631324B}">
            <xm:f>NOT(ISERROR(SEARCH($A$3,B48)))</xm:f>
            <xm:f>$A$3</xm:f>
            <x14:dxf>
              <font>
                <b val="0"/>
                <i val="0"/>
                <color theme="7" tint="-0.499984740745262"/>
              </font>
              <fill>
                <patternFill>
                  <bgColor theme="7" tint="0.59996337778862885"/>
                </patternFill>
              </fill>
            </x14:dxf>
          </x14:cfRule>
          <xm:sqref>B48</xm:sqref>
        </x14:conditionalFormatting>
        <x14:conditionalFormatting xmlns:xm="http://schemas.microsoft.com/office/excel/2006/main">
          <x14:cfRule type="containsText" priority="28" operator="containsText" id="{05589595-B32C-4D34-9B3E-C33F0DA75B10}">
            <xm:f>NOT(ISERROR(SEARCH($A$1,B49)))</xm:f>
            <xm:f>$A$1</xm:f>
            <x14:dxf>
              <font>
                <b val="0"/>
                <i val="0"/>
                <color theme="9" tint="-0.499984740745262"/>
              </font>
              <fill>
                <patternFill>
                  <bgColor theme="9" tint="0.59996337778862885"/>
                </patternFill>
              </fill>
            </x14:dxf>
          </x14:cfRule>
          <x14:cfRule type="containsText" priority="29" operator="containsText" id="{D3B111E7-15E7-474C-A88F-2EA8B7CE2923}">
            <xm:f>NOT(ISERROR(SEARCH($A$2,B49)))</xm:f>
            <xm:f>$A$2</xm:f>
            <x14:dxf>
              <font>
                <b val="0"/>
                <i val="0"/>
                <color rgb="FFC00000"/>
              </font>
              <fill>
                <patternFill>
                  <bgColor rgb="FFFFCCCC"/>
                </patternFill>
              </fill>
            </x14:dxf>
          </x14:cfRule>
          <x14:cfRule type="containsText" priority="30" operator="containsText" id="{4847F99F-D302-4DC0-ABD8-62A67666A1C9}">
            <xm:f>NOT(ISERROR(SEARCH($A$3,B49)))</xm:f>
            <xm:f>$A$3</xm:f>
            <x14:dxf>
              <font>
                <b val="0"/>
                <i val="0"/>
                <color theme="7" tint="-0.499984740745262"/>
              </font>
              <fill>
                <patternFill>
                  <bgColor theme="7" tint="0.59996337778862885"/>
                </patternFill>
              </fill>
            </x14:dxf>
          </x14:cfRule>
          <xm:sqref>B49</xm:sqref>
        </x14:conditionalFormatting>
        <x14:conditionalFormatting xmlns:xm="http://schemas.microsoft.com/office/excel/2006/main">
          <x14:cfRule type="containsText" priority="25" operator="containsText" id="{44F5197E-7331-474F-A23A-F2B5139A3B44}">
            <xm:f>NOT(ISERROR(SEARCH($A$1,B7)))</xm:f>
            <xm:f>$A$1</xm:f>
            <x14:dxf>
              <font>
                <b val="0"/>
                <i val="0"/>
                <color theme="9" tint="-0.499984740745262"/>
              </font>
              <fill>
                <patternFill>
                  <bgColor theme="9" tint="0.59996337778862885"/>
                </patternFill>
              </fill>
            </x14:dxf>
          </x14:cfRule>
          <x14:cfRule type="containsText" priority="26" operator="containsText" id="{0941DA5B-06E3-454A-97AF-FC3697D992F8}">
            <xm:f>NOT(ISERROR(SEARCH($A$2,B7)))</xm:f>
            <xm:f>$A$2</xm:f>
            <x14:dxf>
              <font>
                <b val="0"/>
                <i val="0"/>
                <color rgb="FFC00000"/>
              </font>
              <fill>
                <patternFill>
                  <bgColor rgb="FFFFCCCC"/>
                </patternFill>
              </fill>
            </x14:dxf>
          </x14:cfRule>
          <x14:cfRule type="containsText" priority="27" operator="containsText" id="{E1EC6219-622F-47FB-9A65-7D7E888E35E4}">
            <xm:f>NOT(ISERROR(SEARCH($A$3,B7)))</xm:f>
            <xm:f>$A$3</xm:f>
            <x14:dxf>
              <font>
                <b val="0"/>
                <i val="0"/>
                <color theme="7" tint="-0.499984740745262"/>
              </font>
              <fill>
                <patternFill>
                  <bgColor theme="7" tint="0.59996337778862885"/>
                </patternFill>
              </fill>
            </x14:dxf>
          </x14:cfRule>
          <xm:sqref>B7</xm:sqref>
        </x14:conditionalFormatting>
        <x14:conditionalFormatting xmlns:xm="http://schemas.microsoft.com/office/excel/2006/main">
          <x14:cfRule type="containsText" priority="22" operator="containsText" id="{B4A1A9A4-F581-4CE0-AD21-C44ADB32264C}">
            <xm:f>NOT(ISERROR(SEARCH($A$1,B8)))</xm:f>
            <xm:f>$A$1</xm:f>
            <x14:dxf>
              <font>
                <b val="0"/>
                <i val="0"/>
                <color theme="9" tint="-0.499984740745262"/>
              </font>
              <fill>
                <patternFill>
                  <bgColor theme="9" tint="0.59996337778862885"/>
                </patternFill>
              </fill>
            </x14:dxf>
          </x14:cfRule>
          <x14:cfRule type="containsText" priority="23" operator="containsText" id="{58E966EC-C67C-4A7B-856A-FC063A23FBD8}">
            <xm:f>NOT(ISERROR(SEARCH($A$2,B8)))</xm:f>
            <xm:f>$A$2</xm:f>
            <x14:dxf>
              <font>
                <b val="0"/>
                <i val="0"/>
                <color rgb="FFC00000"/>
              </font>
              <fill>
                <patternFill>
                  <bgColor rgb="FFFFCCCC"/>
                </patternFill>
              </fill>
            </x14:dxf>
          </x14:cfRule>
          <x14:cfRule type="containsText" priority="24" operator="containsText" id="{4F0AD19D-C002-41FE-88F4-72EA6976C5DB}">
            <xm:f>NOT(ISERROR(SEARCH($A$3,B8)))</xm:f>
            <xm:f>$A$3</xm:f>
            <x14:dxf>
              <font>
                <b val="0"/>
                <i val="0"/>
                <color theme="7" tint="-0.499984740745262"/>
              </font>
              <fill>
                <patternFill>
                  <bgColor theme="7" tint="0.59996337778862885"/>
                </patternFill>
              </fill>
            </x14:dxf>
          </x14:cfRule>
          <xm:sqref>B8</xm:sqref>
        </x14:conditionalFormatting>
        <x14:conditionalFormatting xmlns:xm="http://schemas.microsoft.com/office/excel/2006/main">
          <x14:cfRule type="containsText" priority="19" operator="containsText" id="{55D066CB-2C64-470E-8E53-FAFA551A14CB}">
            <xm:f>NOT(ISERROR(SEARCH($A$1,B10)))</xm:f>
            <xm:f>$A$1</xm:f>
            <x14:dxf>
              <font>
                <b val="0"/>
                <i val="0"/>
                <color theme="9" tint="-0.499984740745262"/>
              </font>
              <fill>
                <patternFill>
                  <bgColor theme="9" tint="0.59996337778862885"/>
                </patternFill>
              </fill>
            </x14:dxf>
          </x14:cfRule>
          <x14:cfRule type="containsText" priority="20" operator="containsText" id="{71322C7C-00BD-4922-8FF3-C754D606349A}">
            <xm:f>NOT(ISERROR(SEARCH($A$2,B10)))</xm:f>
            <xm:f>$A$2</xm:f>
            <x14:dxf>
              <font>
                <b val="0"/>
                <i val="0"/>
                <color rgb="FFC00000"/>
              </font>
              <fill>
                <patternFill>
                  <bgColor rgb="FFFFCCCC"/>
                </patternFill>
              </fill>
            </x14:dxf>
          </x14:cfRule>
          <x14:cfRule type="containsText" priority="21" operator="containsText" id="{E1ECB384-D037-48AC-A157-91E61EB5FAA1}">
            <xm:f>NOT(ISERROR(SEARCH($A$3,B10)))</xm:f>
            <xm:f>$A$3</xm:f>
            <x14:dxf>
              <font>
                <b val="0"/>
                <i val="0"/>
                <color theme="7" tint="-0.499984740745262"/>
              </font>
              <fill>
                <patternFill>
                  <bgColor theme="7" tint="0.59996337778862885"/>
                </patternFill>
              </fill>
            </x14:dxf>
          </x14:cfRule>
          <xm:sqref>B10</xm:sqref>
        </x14:conditionalFormatting>
        <x14:conditionalFormatting xmlns:xm="http://schemas.microsoft.com/office/excel/2006/main">
          <x14:cfRule type="containsText" priority="13" operator="containsText" id="{4DF0E53C-B1F6-40C1-AFA5-D299AB17F191}">
            <xm:f>NOT(ISERROR(SEARCH($A$1,B31)))</xm:f>
            <xm:f>$A$1</xm:f>
            <x14:dxf>
              <font>
                <b val="0"/>
                <i val="0"/>
                <color theme="9" tint="-0.499984740745262"/>
              </font>
              <fill>
                <patternFill>
                  <bgColor theme="9" tint="0.59996337778862885"/>
                </patternFill>
              </fill>
            </x14:dxf>
          </x14:cfRule>
          <x14:cfRule type="containsText" priority="14" operator="containsText" id="{5A7F5926-80DB-427E-9B44-65FFD63BDBE4}">
            <xm:f>NOT(ISERROR(SEARCH($A$2,B31)))</xm:f>
            <xm:f>$A$2</xm:f>
            <x14:dxf>
              <font>
                <b val="0"/>
                <i val="0"/>
                <color rgb="FFC00000"/>
              </font>
              <fill>
                <patternFill>
                  <bgColor rgb="FFFFCCCC"/>
                </patternFill>
              </fill>
            </x14:dxf>
          </x14:cfRule>
          <x14:cfRule type="containsText" priority="15" operator="containsText" id="{43FCC383-9D94-46EF-9BDC-0C8C8EE13843}">
            <xm:f>NOT(ISERROR(SEARCH($A$3,B31)))</xm:f>
            <xm:f>$A$3</xm:f>
            <x14:dxf>
              <font>
                <b val="0"/>
                <i val="0"/>
                <color theme="7" tint="-0.499984740745262"/>
              </font>
              <fill>
                <patternFill>
                  <bgColor theme="7" tint="0.59996337778862885"/>
                </patternFill>
              </fill>
            </x14:dxf>
          </x14:cfRule>
          <xm:sqref>B31</xm:sqref>
        </x14:conditionalFormatting>
        <x14:conditionalFormatting xmlns:xm="http://schemas.microsoft.com/office/excel/2006/main">
          <x14:cfRule type="containsText" priority="10" operator="containsText" id="{8D7EE60F-D914-4270-AF0E-173A9BAD8B80}">
            <xm:f>NOT(ISERROR(SEARCH($A$1,B32)))</xm:f>
            <xm:f>$A$1</xm:f>
            <x14:dxf>
              <font>
                <b val="0"/>
                <i val="0"/>
                <color theme="9" tint="-0.499984740745262"/>
              </font>
              <fill>
                <patternFill>
                  <bgColor theme="9" tint="0.59996337778862885"/>
                </patternFill>
              </fill>
            </x14:dxf>
          </x14:cfRule>
          <x14:cfRule type="containsText" priority="11" operator="containsText" id="{59CB4B28-5071-400D-B40B-8F5C1F0A2983}">
            <xm:f>NOT(ISERROR(SEARCH($A$2,B32)))</xm:f>
            <xm:f>$A$2</xm:f>
            <x14:dxf>
              <font>
                <b val="0"/>
                <i val="0"/>
                <color rgb="FFC00000"/>
              </font>
              <fill>
                <patternFill>
                  <bgColor rgb="FFFFCCCC"/>
                </patternFill>
              </fill>
            </x14:dxf>
          </x14:cfRule>
          <x14:cfRule type="containsText" priority="12" operator="containsText" id="{C08F15D7-903D-4535-8253-9299E779B79A}">
            <xm:f>NOT(ISERROR(SEARCH($A$3,B32)))</xm:f>
            <xm:f>$A$3</xm:f>
            <x14:dxf>
              <font>
                <b val="0"/>
                <i val="0"/>
                <color theme="7" tint="-0.499984740745262"/>
              </font>
              <fill>
                <patternFill>
                  <bgColor theme="7" tint="0.59996337778862885"/>
                </patternFill>
              </fill>
            </x14:dxf>
          </x14:cfRule>
          <xm:sqref>B32</xm:sqref>
        </x14:conditionalFormatting>
        <x14:conditionalFormatting xmlns:xm="http://schemas.microsoft.com/office/excel/2006/main">
          <x14:cfRule type="containsText" priority="7" operator="containsText" id="{A3F6E7CC-FD0F-4F9C-90B7-BB7D7882237D}">
            <xm:f>NOT(ISERROR(SEARCH($A$1,B33)))</xm:f>
            <xm:f>$A$1</xm:f>
            <x14:dxf>
              <font>
                <b val="0"/>
                <i val="0"/>
                <color theme="9" tint="-0.499984740745262"/>
              </font>
              <fill>
                <patternFill>
                  <bgColor theme="9" tint="0.59996337778862885"/>
                </patternFill>
              </fill>
            </x14:dxf>
          </x14:cfRule>
          <x14:cfRule type="containsText" priority="8" operator="containsText" id="{C9B26465-76FF-41C5-8FF0-096D891F7564}">
            <xm:f>NOT(ISERROR(SEARCH($A$2,B33)))</xm:f>
            <xm:f>$A$2</xm:f>
            <x14:dxf>
              <font>
                <b val="0"/>
                <i val="0"/>
                <color rgb="FFC00000"/>
              </font>
              <fill>
                <patternFill>
                  <bgColor rgb="FFFFCCCC"/>
                </patternFill>
              </fill>
            </x14:dxf>
          </x14:cfRule>
          <x14:cfRule type="containsText" priority="9" operator="containsText" id="{91504054-9EEB-4C71-AA24-F421089727A6}">
            <xm:f>NOT(ISERROR(SEARCH($A$3,B33)))</xm:f>
            <xm:f>$A$3</xm:f>
            <x14:dxf>
              <font>
                <b val="0"/>
                <i val="0"/>
                <color theme="7" tint="-0.499984740745262"/>
              </font>
              <fill>
                <patternFill>
                  <bgColor theme="7" tint="0.59996337778862885"/>
                </patternFill>
              </fill>
            </x14:dxf>
          </x14:cfRule>
          <xm:sqref>B33</xm:sqref>
        </x14:conditionalFormatting>
        <x14:conditionalFormatting xmlns:xm="http://schemas.microsoft.com/office/excel/2006/main">
          <x14:cfRule type="containsText" priority="4" operator="containsText" id="{70825E91-795D-466C-B00E-9D963EDB6450}">
            <xm:f>NOT(ISERROR(SEARCH($A$1,B34)))</xm:f>
            <xm:f>$A$1</xm:f>
            <x14:dxf>
              <font>
                <b val="0"/>
                <i val="0"/>
                <color theme="9" tint="-0.499984740745262"/>
              </font>
              <fill>
                <patternFill>
                  <bgColor theme="9" tint="0.59996337778862885"/>
                </patternFill>
              </fill>
            </x14:dxf>
          </x14:cfRule>
          <x14:cfRule type="containsText" priority="5" operator="containsText" id="{9DE4E9DA-D1F2-4222-887A-0C5FB49AAB87}">
            <xm:f>NOT(ISERROR(SEARCH($A$2,B34)))</xm:f>
            <xm:f>$A$2</xm:f>
            <x14:dxf>
              <font>
                <b val="0"/>
                <i val="0"/>
                <color rgb="FFC00000"/>
              </font>
              <fill>
                <patternFill>
                  <bgColor rgb="FFFFCCCC"/>
                </patternFill>
              </fill>
            </x14:dxf>
          </x14:cfRule>
          <x14:cfRule type="containsText" priority="6" operator="containsText" id="{B028FE5B-BFF6-4350-93B0-45927235EE06}">
            <xm:f>NOT(ISERROR(SEARCH($A$3,B34)))</xm:f>
            <xm:f>$A$3</xm:f>
            <x14:dxf>
              <font>
                <b val="0"/>
                <i val="0"/>
                <color theme="7" tint="-0.499984740745262"/>
              </font>
              <fill>
                <patternFill>
                  <bgColor theme="7" tint="0.59996337778862885"/>
                </patternFill>
              </fill>
            </x14:dxf>
          </x14:cfRule>
          <xm:sqref>B34</xm:sqref>
        </x14:conditionalFormatting>
        <x14:conditionalFormatting xmlns:xm="http://schemas.microsoft.com/office/excel/2006/main">
          <x14:cfRule type="containsText" priority="1" operator="containsText" id="{9121526F-1A5A-4A9C-8ED1-AD4E46FB9DC0}">
            <xm:f>NOT(ISERROR(SEARCH($A$1,B16)))</xm:f>
            <xm:f>$A$1</xm:f>
            <x14:dxf>
              <font>
                <b val="0"/>
                <i val="0"/>
                <color theme="9" tint="-0.499984740745262"/>
              </font>
              <fill>
                <patternFill>
                  <bgColor theme="9" tint="0.59996337778862885"/>
                </patternFill>
              </fill>
            </x14:dxf>
          </x14:cfRule>
          <x14:cfRule type="containsText" priority="2" operator="containsText" id="{7330C43E-1081-4767-BBA3-4ED03FF2F596}">
            <xm:f>NOT(ISERROR(SEARCH($A$2,B16)))</xm:f>
            <xm:f>$A$2</xm:f>
            <x14:dxf>
              <font>
                <b val="0"/>
                <i val="0"/>
                <color rgb="FFC00000"/>
              </font>
              <fill>
                <patternFill>
                  <bgColor rgb="FFFFCCCC"/>
                </patternFill>
              </fill>
            </x14:dxf>
          </x14:cfRule>
          <x14:cfRule type="containsText" priority="3" operator="containsText" id="{2CAC54B0-4E2B-40F1-B891-F65B719E42B6}">
            <xm:f>NOT(ISERROR(SEARCH($A$3,B16)))</xm:f>
            <xm:f>$A$3</xm:f>
            <x14:dxf>
              <font>
                <b val="0"/>
                <i val="0"/>
                <color theme="7" tint="-0.499984740745262"/>
              </font>
              <fill>
                <patternFill>
                  <bgColor theme="7" tint="0.59996337778862885"/>
                </patternFill>
              </fill>
            </x14:dxf>
          </x14:cfRule>
          <xm:sqref>B16:B17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Overview!$C$9:$C$12</xm:f>
          </x14:formula1>
          <xm:sqref>D10:D11 D28:D61 D13:D14 D19:D22 D6:D8 D16:D17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dimension ref="A1:D64"/>
  <sheetViews>
    <sheetView workbookViewId="0">
      <selection activeCell="D16" sqref="D16"/>
    </sheetView>
  </sheetViews>
  <sheetFormatPr defaultRowHeight="14.5" x14ac:dyDescent="0.35"/>
  <cols>
    <col min="1" max="1" width="10.6328125" customWidth="1"/>
    <col min="3" max="3" width="58.36328125" style="5" customWidth="1"/>
    <col min="4" max="4" width="12.90625" customWidth="1"/>
  </cols>
  <sheetData>
    <row r="1" spans="1:4" x14ac:dyDescent="0.35">
      <c r="A1" s="1" t="s">
        <v>1</v>
      </c>
      <c r="B1">
        <f>COUNTIF(Table4[Result],"Pass")</f>
        <v>0</v>
      </c>
    </row>
    <row r="2" spans="1:4" x14ac:dyDescent="0.35">
      <c r="A2" s="2" t="s">
        <v>2</v>
      </c>
      <c r="B2">
        <f>COUNTIF(Table4[Result],"Fail")</f>
        <v>0</v>
      </c>
    </row>
    <row r="3" spans="1:4" x14ac:dyDescent="0.35">
      <c r="A3" s="3" t="s">
        <v>3</v>
      </c>
      <c r="B3">
        <f>COUNTIF(Table4[Result],"Pending")</f>
        <v>59</v>
      </c>
    </row>
    <row r="4" spans="1:4" x14ac:dyDescent="0.35">
      <c r="A4" t="s">
        <v>4</v>
      </c>
      <c r="B4">
        <f>COUNTA(Table4[Test Case])</f>
        <v>59</v>
      </c>
    </row>
    <row r="5" spans="1:4" x14ac:dyDescent="0.35">
      <c r="A5" s="4" t="s">
        <v>0</v>
      </c>
      <c r="B5" s="4" t="s">
        <v>5</v>
      </c>
      <c r="C5" s="6" t="s">
        <v>187</v>
      </c>
      <c r="D5" s="4" t="s">
        <v>285</v>
      </c>
    </row>
    <row r="6" spans="1:4" x14ac:dyDescent="0.35">
      <c r="A6" t="s">
        <v>94</v>
      </c>
      <c r="B6" t="s">
        <v>3</v>
      </c>
    </row>
    <row r="7" spans="1:4" x14ac:dyDescent="0.35">
      <c r="A7" t="s">
        <v>95</v>
      </c>
      <c r="B7" t="s">
        <v>3</v>
      </c>
    </row>
    <row r="8" spans="1:4" x14ac:dyDescent="0.35">
      <c r="A8" t="s">
        <v>96</v>
      </c>
      <c r="B8" t="s">
        <v>3</v>
      </c>
    </row>
    <row r="9" spans="1:4" x14ac:dyDescent="0.35">
      <c r="A9" t="s">
        <v>97</v>
      </c>
      <c r="B9" t="s">
        <v>3</v>
      </c>
    </row>
    <row r="10" spans="1:4" x14ac:dyDescent="0.35">
      <c r="A10" t="s">
        <v>98</v>
      </c>
      <c r="B10" t="s">
        <v>3</v>
      </c>
    </row>
    <row r="11" spans="1:4" x14ac:dyDescent="0.35">
      <c r="A11" t="s">
        <v>99</v>
      </c>
      <c r="B11" t="s">
        <v>3</v>
      </c>
    </row>
    <row r="12" spans="1:4" x14ac:dyDescent="0.35">
      <c r="A12" t="s">
        <v>100</v>
      </c>
      <c r="B12" t="s">
        <v>3</v>
      </c>
    </row>
    <row r="13" spans="1:4" x14ac:dyDescent="0.35">
      <c r="A13" t="s">
        <v>101</v>
      </c>
      <c r="B13" t="s">
        <v>3</v>
      </c>
    </row>
    <row r="14" spans="1:4" x14ac:dyDescent="0.35">
      <c r="A14" t="s">
        <v>102</v>
      </c>
      <c r="B14" t="s">
        <v>3</v>
      </c>
    </row>
    <row r="15" spans="1:4" x14ac:dyDescent="0.35">
      <c r="A15" t="s">
        <v>103</v>
      </c>
      <c r="B15" t="s">
        <v>3</v>
      </c>
    </row>
    <row r="16" spans="1:4" x14ac:dyDescent="0.35">
      <c r="A16" t="s">
        <v>104</v>
      </c>
      <c r="B16" t="s">
        <v>3</v>
      </c>
    </row>
    <row r="17" spans="1:2" x14ac:dyDescent="0.35">
      <c r="A17" t="s">
        <v>105</v>
      </c>
      <c r="B17" t="s">
        <v>3</v>
      </c>
    </row>
    <row r="18" spans="1:2" x14ac:dyDescent="0.35">
      <c r="A18" t="s">
        <v>106</v>
      </c>
      <c r="B18" t="s">
        <v>3</v>
      </c>
    </row>
    <row r="19" spans="1:2" x14ac:dyDescent="0.35">
      <c r="A19" t="s">
        <v>107</v>
      </c>
      <c r="B19" t="s">
        <v>3</v>
      </c>
    </row>
    <row r="20" spans="1:2" x14ac:dyDescent="0.35">
      <c r="A20" t="s">
        <v>108</v>
      </c>
      <c r="B20" t="s">
        <v>3</v>
      </c>
    </row>
    <row r="21" spans="1:2" x14ac:dyDescent="0.35">
      <c r="A21" t="s">
        <v>109</v>
      </c>
      <c r="B21" t="s">
        <v>3</v>
      </c>
    </row>
    <row r="22" spans="1:2" x14ac:dyDescent="0.35">
      <c r="A22" t="s">
        <v>110</v>
      </c>
      <c r="B22" t="s">
        <v>3</v>
      </c>
    </row>
    <row r="23" spans="1:2" x14ac:dyDescent="0.35">
      <c r="A23" t="s">
        <v>111</v>
      </c>
      <c r="B23" t="s">
        <v>3</v>
      </c>
    </row>
    <row r="24" spans="1:2" x14ac:dyDescent="0.35">
      <c r="A24" t="s">
        <v>112</v>
      </c>
      <c r="B24" t="s">
        <v>3</v>
      </c>
    </row>
    <row r="25" spans="1:2" x14ac:dyDescent="0.35">
      <c r="A25" t="s">
        <v>113</v>
      </c>
      <c r="B25" t="s">
        <v>3</v>
      </c>
    </row>
    <row r="26" spans="1:2" x14ac:dyDescent="0.35">
      <c r="A26" t="s">
        <v>114</v>
      </c>
      <c r="B26" t="s">
        <v>3</v>
      </c>
    </row>
    <row r="27" spans="1:2" x14ac:dyDescent="0.35">
      <c r="A27" t="s">
        <v>115</v>
      </c>
      <c r="B27" t="s">
        <v>3</v>
      </c>
    </row>
    <row r="28" spans="1:2" x14ac:dyDescent="0.35">
      <c r="A28" t="s">
        <v>116</v>
      </c>
      <c r="B28" t="s">
        <v>3</v>
      </c>
    </row>
    <row r="29" spans="1:2" x14ac:dyDescent="0.35">
      <c r="A29" t="s">
        <v>117</v>
      </c>
      <c r="B29" t="s">
        <v>3</v>
      </c>
    </row>
    <row r="30" spans="1:2" x14ac:dyDescent="0.35">
      <c r="A30" t="s">
        <v>118</v>
      </c>
      <c r="B30" t="s">
        <v>3</v>
      </c>
    </row>
    <row r="31" spans="1:2" x14ac:dyDescent="0.35">
      <c r="A31" t="s">
        <v>119</v>
      </c>
      <c r="B31" t="s">
        <v>3</v>
      </c>
    </row>
    <row r="32" spans="1:2" x14ac:dyDescent="0.35">
      <c r="A32" t="s">
        <v>120</v>
      </c>
      <c r="B32" t="s">
        <v>3</v>
      </c>
    </row>
    <row r="33" spans="1:2" x14ac:dyDescent="0.35">
      <c r="A33" t="s">
        <v>121</v>
      </c>
      <c r="B33" t="s">
        <v>3</v>
      </c>
    </row>
    <row r="34" spans="1:2" x14ac:dyDescent="0.35">
      <c r="A34" t="s">
        <v>122</v>
      </c>
      <c r="B34" t="s">
        <v>3</v>
      </c>
    </row>
    <row r="35" spans="1:2" x14ac:dyDescent="0.35">
      <c r="A35" t="s">
        <v>123</v>
      </c>
      <c r="B35" t="s">
        <v>3</v>
      </c>
    </row>
    <row r="36" spans="1:2" x14ac:dyDescent="0.35">
      <c r="A36" t="s">
        <v>124</v>
      </c>
      <c r="B36" t="s">
        <v>3</v>
      </c>
    </row>
    <row r="37" spans="1:2" x14ac:dyDescent="0.35">
      <c r="A37" t="s">
        <v>125</v>
      </c>
      <c r="B37" t="s">
        <v>3</v>
      </c>
    </row>
    <row r="38" spans="1:2" x14ac:dyDescent="0.35">
      <c r="A38" t="s">
        <v>126</v>
      </c>
      <c r="B38" t="s">
        <v>3</v>
      </c>
    </row>
    <row r="39" spans="1:2" x14ac:dyDescent="0.35">
      <c r="A39" t="s">
        <v>127</v>
      </c>
      <c r="B39" t="s">
        <v>3</v>
      </c>
    </row>
    <row r="40" spans="1:2" x14ac:dyDescent="0.35">
      <c r="A40" t="s">
        <v>128</v>
      </c>
      <c r="B40" t="s">
        <v>3</v>
      </c>
    </row>
    <row r="41" spans="1:2" x14ac:dyDescent="0.35">
      <c r="A41" t="s">
        <v>129</v>
      </c>
      <c r="B41" t="s">
        <v>3</v>
      </c>
    </row>
    <row r="42" spans="1:2" x14ac:dyDescent="0.35">
      <c r="A42" t="s">
        <v>130</v>
      </c>
      <c r="B42" t="s">
        <v>3</v>
      </c>
    </row>
    <row r="43" spans="1:2" x14ac:dyDescent="0.35">
      <c r="A43" t="s">
        <v>131</v>
      </c>
      <c r="B43" t="s">
        <v>3</v>
      </c>
    </row>
    <row r="44" spans="1:2" x14ac:dyDescent="0.35">
      <c r="A44" t="s">
        <v>132</v>
      </c>
      <c r="B44" t="s">
        <v>3</v>
      </c>
    </row>
    <row r="45" spans="1:2" x14ac:dyDescent="0.35">
      <c r="A45" t="s">
        <v>133</v>
      </c>
      <c r="B45" t="s">
        <v>3</v>
      </c>
    </row>
    <row r="46" spans="1:2" x14ac:dyDescent="0.35">
      <c r="A46" t="s">
        <v>134</v>
      </c>
      <c r="B46" t="s">
        <v>3</v>
      </c>
    </row>
    <row r="47" spans="1:2" x14ac:dyDescent="0.35">
      <c r="A47" t="s">
        <v>135</v>
      </c>
      <c r="B47" t="s">
        <v>3</v>
      </c>
    </row>
    <row r="48" spans="1:2" x14ac:dyDescent="0.35">
      <c r="A48" t="s">
        <v>136</v>
      </c>
      <c r="B48" t="s">
        <v>3</v>
      </c>
    </row>
    <row r="49" spans="1:2" x14ac:dyDescent="0.35">
      <c r="A49" t="s">
        <v>137</v>
      </c>
      <c r="B49" t="s">
        <v>3</v>
      </c>
    </row>
    <row r="50" spans="1:2" x14ac:dyDescent="0.35">
      <c r="A50" t="s">
        <v>138</v>
      </c>
      <c r="B50" t="s">
        <v>3</v>
      </c>
    </row>
    <row r="51" spans="1:2" x14ac:dyDescent="0.35">
      <c r="A51" t="s">
        <v>139</v>
      </c>
      <c r="B51" t="s">
        <v>3</v>
      </c>
    </row>
    <row r="52" spans="1:2" x14ac:dyDescent="0.35">
      <c r="A52" t="s">
        <v>140</v>
      </c>
      <c r="B52" t="s">
        <v>3</v>
      </c>
    </row>
    <row r="53" spans="1:2" x14ac:dyDescent="0.35">
      <c r="A53" t="s">
        <v>141</v>
      </c>
      <c r="B53" t="s">
        <v>3</v>
      </c>
    </row>
    <row r="54" spans="1:2" x14ac:dyDescent="0.35">
      <c r="A54" t="s">
        <v>142</v>
      </c>
      <c r="B54" t="s">
        <v>3</v>
      </c>
    </row>
    <row r="55" spans="1:2" x14ac:dyDescent="0.35">
      <c r="A55" t="s">
        <v>143</v>
      </c>
      <c r="B55" t="s">
        <v>3</v>
      </c>
    </row>
    <row r="56" spans="1:2" x14ac:dyDescent="0.35">
      <c r="A56" t="s">
        <v>144</v>
      </c>
      <c r="B56" t="s">
        <v>3</v>
      </c>
    </row>
    <row r="57" spans="1:2" x14ac:dyDescent="0.35">
      <c r="A57" t="s">
        <v>145</v>
      </c>
      <c r="B57" t="s">
        <v>3</v>
      </c>
    </row>
    <row r="58" spans="1:2" x14ac:dyDescent="0.35">
      <c r="A58" t="s">
        <v>146</v>
      </c>
      <c r="B58" t="s">
        <v>3</v>
      </c>
    </row>
    <row r="59" spans="1:2" x14ac:dyDescent="0.35">
      <c r="A59" t="s">
        <v>147</v>
      </c>
      <c r="B59" t="s">
        <v>3</v>
      </c>
    </row>
    <row r="60" spans="1:2" x14ac:dyDescent="0.35">
      <c r="A60" t="s">
        <v>148</v>
      </c>
      <c r="B60" t="s">
        <v>3</v>
      </c>
    </row>
    <row r="61" spans="1:2" x14ac:dyDescent="0.35">
      <c r="A61" t="s">
        <v>149</v>
      </c>
      <c r="B61" t="s">
        <v>3</v>
      </c>
    </row>
    <row r="62" spans="1:2" x14ac:dyDescent="0.35">
      <c r="A62" t="s">
        <v>150</v>
      </c>
      <c r="B62" t="s">
        <v>3</v>
      </c>
    </row>
    <row r="63" spans="1:2" x14ac:dyDescent="0.35">
      <c r="A63" t="s">
        <v>151</v>
      </c>
      <c r="B63" t="s">
        <v>3</v>
      </c>
    </row>
    <row r="64" spans="1:2" x14ac:dyDescent="0.35">
      <c r="A64" t="s">
        <v>152</v>
      </c>
      <c r="B64" t="s">
        <v>3</v>
      </c>
    </row>
  </sheetData>
  <conditionalFormatting sqref="A6:A64">
    <cfRule type="expression" dxfId="115" priority="2">
      <formula>B6="Fail"</formula>
    </cfRule>
    <cfRule type="expression" dxfId="114" priority="3">
      <formula>B6="Pending"</formula>
    </cfRule>
  </conditionalFormatting>
  <conditionalFormatting sqref="A6:A64">
    <cfRule type="expression" dxfId="113" priority="1">
      <formula>B6="Pass"</formula>
    </cfRule>
  </conditionalFormatting>
  <dataValidations count="1">
    <dataValidation type="list" allowBlank="1" showInputMessage="1" showErrorMessage="1" sqref="B6:B64" xr:uid="{00000000-0002-0000-1000-000000000000}">
      <formula1>$A$1:$A$3</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B0944BB7-B952-4A8E-960E-2061047671FF}">
            <xm:f>NOT(ISERROR(SEARCH($A$1,B6)))</xm:f>
            <xm:f>$A$1</xm:f>
            <x14:dxf>
              <font>
                <b val="0"/>
                <i val="0"/>
                <color theme="9" tint="-0.499984740745262"/>
              </font>
              <fill>
                <patternFill>
                  <bgColor theme="9" tint="0.59996337778862885"/>
                </patternFill>
              </fill>
            </x14:dxf>
          </x14:cfRule>
          <x14:cfRule type="containsText" priority="5" operator="containsText" id="{4C535CF7-F5C1-4214-8AA7-8287BCC8758C}">
            <xm:f>NOT(ISERROR(SEARCH($A$2,B6)))</xm:f>
            <xm:f>$A$2</xm:f>
            <x14:dxf>
              <font>
                <b val="0"/>
                <i val="0"/>
                <color rgb="FFC00000"/>
              </font>
              <fill>
                <patternFill>
                  <bgColor rgb="FFFFCCCC"/>
                </patternFill>
              </fill>
            </x14:dxf>
          </x14:cfRule>
          <x14:cfRule type="containsText" priority="6" operator="containsText" id="{CCB22C5E-2F92-4021-A579-199550C20300}">
            <xm:f>NOT(ISERROR(SEARCH($A$3,B6)))</xm:f>
            <xm:f>$A$3</xm:f>
            <x14:dxf>
              <font>
                <b val="0"/>
                <i val="0"/>
                <color theme="7" tint="-0.499984740745262"/>
              </font>
              <fill>
                <patternFill>
                  <bgColor theme="7" tint="0.59996337778862885"/>
                </patternFill>
              </fill>
            </x14:dxf>
          </x14:cfRule>
          <xm:sqref>B6:B64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Overview!$C$9:$C$12</xm:f>
          </x14:formula1>
          <xm:sqref>D6:D64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A1:D35"/>
  <sheetViews>
    <sheetView workbookViewId="0">
      <selection activeCell="C6" sqref="C6"/>
    </sheetView>
  </sheetViews>
  <sheetFormatPr defaultRowHeight="14.5" x14ac:dyDescent="0.35"/>
  <cols>
    <col min="1" max="1" width="14.54296875" customWidth="1"/>
    <col min="3" max="3" width="62.08984375" customWidth="1"/>
    <col min="4" max="4" width="12.90625" bestFit="1" customWidth="1"/>
  </cols>
  <sheetData>
    <row r="1" spans="1:4" x14ac:dyDescent="0.35">
      <c r="A1" s="1" t="s">
        <v>1</v>
      </c>
      <c r="B1">
        <f>COUNTIF(Table2[Result],"Pass")</f>
        <v>0</v>
      </c>
    </row>
    <row r="2" spans="1:4" x14ac:dyDescent="0.35">
      <c r="A2" s="2" t="s">
        <v>2</v>
      </c>
      <c r="B2">
        <f>COUNTIF(Table2[Result],"Fail")</f>
        <v>0</v>
      </c>
    </row>
    <row r="3" spans="1:4" x14ac:dyDescent="0.35">
      <c r="A3" s="3" t="s">
        <v>3</v>
      </c>
      <c r="B3">
        <f>COUNTIF(Table2[Result],"Pending")</f>
        <v>30</v>
      </c>
    </row>
    <row r="4" spans="1:4" x14ac:dyDescent="0.35">
      <c r="A4" t="s">
        <v>4</v>
      </c>
      <c r="B4">
        <f>COUNTA(Table2[Result])</f>
        <v>30</v>
      </c>
    </row>
    <row r="5" spans="1:4" x14ac:dyDescent="0.35">
      <c r="A5" s="4" t="s">
        <v>0</v>
      </c>
      <c r="B5" s="4" t="s">
        <v>5</v>
      </c>
      <c r="C5" s="4" t="s">
        <v>187</v>
      </c>
      <c r="D5" s="4" t="s">
        <v>285</v>
      </c>
    </row>
    <row r="6" spans="1:4" x14ac:dyDescent="0.35">
      <c r="A6" t="s">
        <v>63</v>
      </c>
      <c r="B6" t="s">
        <v>3</v>
      </c>
      <c r="C6" s="5"/>
    </row>
    <row r="7" spans="1:4" x14ac:dyDescent="0.35">
      <c r="A7" t="s">
        <v>64</v>
      </c>
      <c r="B7" t="s">
        <v>3</v>
      </c>
      <c r="C7" s="5"/>
    </row>
    <row r="8" spans="1:4" x14ac:dyDescent="0.35">
      <c r="A8" t="s">
        <v>65</v>
      </c>
      <c r="B8" t="s">
        <v>3</v>
      </c>
      <c r="C8" s="5"/>
    </row>
    <row r="9" spans="1:4" x14ac:dyDescent="0.35">
      <c r="A9" t="s">
        <v>66</v>
      </c>
      <c r="B9" t="s">
        <v>3</v>
      </c>
      <c r="C9" s="5"/>
    </row>
    <row r="10" spans="1:4" x14ac:dyDescent="0.35">
      <c r="A10" t="s">
        <v>67</v>
      </c>
      <c r="B10" t="s">
        <v>3</v>
      </c>
      <c r="C10" s="5"/>
    </row>
    <row r="11" spans="1:4" x14ac:dyDescent="0.35">
      <c r="A11" t="s">
        <v>68</v>
      </c>
      <c r="B11" t="s">
        <v>3</v>
      </c>
      <c r="C11" s="5"/>
    </row>
    <row r="12" spans="1:4" x14ac:dyDescent="0.35">
      <c r="A12" t="s">
        <v>69</v>
      </c>
      <c r="B12" t="s">
        <v>3</v>
      </c>
      <c r="C12" s="5"/>
    </row>
    <row r="13" spans="1:4" x14ac:dyDescent="0.35">
      <c r="A13" t="s">
        <v>70</v>
      </c>
      <c r="B13" t="s">
        <v>3</v>
      </c>
      <c r="C13" s="5"/>
    </row>
    <row r="14" spans="1:4" x14ac:dyDescent="0.35">
      <c r="A14" t="s">
        <v>71</v>
      </c>
      <c r="B14" t="s">
        <v>3</v>
      </c>
      <c r="C14" s="5"/>
    </row>
    <row r="15" spans="1:4" x14ac:dyDescent="0.35">
      <c r="A15" t="s">
        <v>72</v>
      </c>
      <c r="B15" t="s">
        <v>3</v>
      </c>
      <c r="C15" s="5"/>
    </row>
    <row r="16" spans="1:4" x14ac:dyDescent="0.35">
      <c r="A16" t="s">
        <v>73</v>
      </c>
      <c r="B16" t="s">
        <v>3</v>
      </c>
      <c r="C16" s="5"/>
    </row>
    <row r="17" spans="1:3" x14ac:dyDescent="0.35">
      <c r="A17" t="s">
        <v>74</v>
      </c>
      <c r="B17" t="s">
        <v>3</v>
      </c>
      <c r="C17" s="5"/>
    </row>
    <row r="18" spans="1:3" x14ac:dyDescent="0.35">
      <c r="A18" t="s">
        <v>75</v>
      </c>
      <c r="B18" t="s">
        <v>3</v>
      </c>
      <c r="C18" s="5"/>
    </row>
    <row r="19" spans="1:3" x14ac:dyDescent="0.35">
      <c r="A19" t="s">
        <v>76</v>
      </c>
      <c r="B19" t="s">
        <v>3</v>
      </c>
      <c r="C19" s="5"/>
    </row>
    <row r="20" spans="1:3" x14ac:dyDescent="0.35">
      <c r="A20" t="s">
        <v>77</v>
      </c>
      <c r="B20" t="s">
        <v>3</v>
      </c>
      <c r="C20" s="5"/>
    </row>
    <row r="21" spans="1:3" x14ac:dyDescent="0.35">
      <c r="A21" t="s">
        <v>78</v>
      </c>
      <c r="B21" t="s">
        <v>3</v>
      </c>
      <c r="C21" s="5"/>
    </row>
    <row r="22" spans="1:3" x14ac:dyDescent="0.35">
      <c r="A22" t="s">
        <v>79</v>
      </c>
      <c r="B22" t="s">
        <v>3</v>
      </c>
      <c r="C22" s="5"/>
    </row>
    <row r="23" spans="1:3" x14ac:dyDescent="0.35">
      <c r="A23" t="s">
        <v>80</v>
      </c>
      <c r="B23" t="s">
        <v>3</v>
      </c>
      <c r="C23" s="5"/>
    </row>
    <row r="24" spans="1:3" x14ac:dyDescent="0.35">
      <c r="A24" t="s">
        <v>81</v>
      </c>
      <c r="B24" t="s">
        <v>3</v>
      </c>
      <c r="C24" s="5"/>
    </row>
    <row r="25" spans="1:3" x14ac:dyDescent="0.35">
      <c r="A25" t="s">
        <v>82</v>
      </c>
      <c r="B25" t="s">
        <v>3</v>
      </c>
      <c r="C25" s="5"/>
    </row>
    <row r="26" spans="1:3" x14ac:dyDescent="0.35">
      <c r="A26" t="s">
        <v>83</v>
      </c>
      <c r="B26" t="s">
        <v>3</v>
      </c>
      <c r="C26" s="5"/>
    </row>
    <row r="27" spans="1:3" x14ac:dyDescent="0.35">
      <c r="A27" t="s">
        <v>84</v>
      </c>
      <c r="B27" t="s">
        <v>3</v>
      </c>
      <c r="C27" s="5"/>
    </row>
    <row r="28" spans="1:3" x14ac:dyDescent="0.35">
      <c r="A28" t="s">
        <v>85</v>
      </c>
      <c r="B28" t="s">
        <v>3</v>
      </c>
      <c r="C28" s="5"/>
    </row>
    <row r="29" spans="1:3" x14ac:dyDescent="0.35">
      <c r="A29" t="s">
        <v>86</v>
      </c>
      <c r="B29" t="s">
        <v>3</v>
      </c>
      <c r="C29" s="5"/>
    </row>
    <row r="30" spans="1:3" x14ac:dyDescent="0.35">
      <c r="A30" t="s">
        <v>87</v>
      </c>
      <c r="B30" t="s">
        <v>3</v>
      </c>
      <c r="C30" s="5"/>
    </row>
    <row r="31" spans="1:3" x14ac:dyDescent="0.35">
      <c r="A31" t="s">
        <v>88</v>
      </c>
      <c r="B31" t="s">
        <v>3</v>
      </c>
      <c r="C31" s="5"/>
    </row>
    <row r="32" spans="1:3" x14ac:dyDescent="0.35">
      <c r="A32" t="s">
        <v>89</v>
      </c>
      <c r="B32" t="s">
        <v>3</v>
      </c>
      <c r="C32" s="5"/>
    </row>
    <row r="33" spans="1:3" x14ac:dyDescent="0.35">
      <c r="A33" t="s">
        <v>90</v>
      </c>
      <c r="B33" t="s">
        <v>3</v>
      </c>
      <c r="C33" s="5"/>
    </row>
    <row r="34" spans="1:3" x14ac:dyDescent="0.35">
      <c r="A34" t="s">
        <v>91</v>
      </c>
      <c r="B34" t="s">
        <v>3</v>
      </c>
      <c r="C34" s="5"/>
    </row>
    <row r="35" spans="1:3" x14ac:dyDescent="0.35">
      <c r="A35" t="s">
        <v>92</v>
      </c>
      <c r="B35" t="s">
        <v>3</v>
      </c>
      <c r="C35" s="5"/>
    </row>
  </sheetData>
  <conditionalFormatting sqref="A7:A23">
    <cfRule type="expression" dxfId="107" priority="32">
      <formula>B7="Fail"</formula>
    </cfRule>
    <cfRule type="expression" dxfId="106" priority="33">
      <formula>B7="Pending"</formula>
    </cfRule>
  </conditionalFormatting>
  <conditionalFormatting sqref="A7:A23">
    <cfRule type="expression" dxfId="105" priority="31">
      <formula>B7="Pass"</formula>
    </cfRule>
  </conditionalFormatting>
  <conditionalFormatting sqref="A6">
    <cfRule type="expression" dxfId="104" priority="26">
      <formula>B6="Fail"</formula>
    </cfRule>
    <cfRule type="expression" dxfId="103" priority="27">
      <formula>B6="Pending"</formula>
    </cfRule>
  </conditionalFormatting>
  <conditionalFormatting sqref="A6">
    <cfRule type="expression" dxfId="102" priority="25">
      <formula>B6="Pass"</formula>
    </cfRule>
  </conditionalFormatting>
  <conditionalFormatting sqref="A24">
    <cfRule type="expression" dxfId="101" priority="8">
      <formula>B24="Fail"</formula>
    </cfRule>
    <cfRule type="expression" dxfId="100" priority="9">
      <formula>B24="Pending"</formula>
    </cfRule>
  </conditionalFormatting>
  <conditionalFormatting sqref="A24">
    <cfRule type="expression" dxfId="99" priority="7">
      <formula>B24="Pass"</formula>
    </cfRule>
  </conditionalFormatting>
  <conditionalFormatting sqref="A25">
    <cfRule type="expression" dxfId="98" priority="5">
      <formula>B25="Fail"</formula>
    </cfRule>
    <cfRule type="expression" dxfId="97" priority="6">
      <formula>B25="Pending"</formula>
    </cfRule>
  </conditionalFormatting>
  <conditionalFormatting sqref="A25">
    <cfRule type="expression" dxfId="96" priority="4">
      <formula>B25="Pass"</formula>
    </cfRule>
  </conditionalFormatting>
  <conditionalFormatting sqref="A26:A35">
    <cfRule type="expression" dxfId="95" priority="2">
      <formula>B26="Fail"</formula>
    </cfRule>
    <cfRule type="expression" dxfId="94" priority="3">
      <formula>B26="Pending"</formula>
    </cfRule>
  </conditionalFormatting>
  <conditionalFormatting sqref="A26:A35">
    <cfRule type="expression" dxfId="93" priority="1">
      <formula>B26="Pass"</formula>
    </cfRule>
  </conditionalFormatting>
  <dataValidations count="1">
    <dataValidation type="list" allowBlank="1" showInputMessage="1" showErrorMessage="1" sqref="B6:B35" xr:uid="{00000000-0002-0000-11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EE88D6EE-6D9E-4E89-92E0-DA6AB548B507}">
            <xm:f>NOT(ISERROR(SEARCH($A$1,B6)))</xm:f>
            <xm:f>$A$1</xm:f>
            <x14:dxf>
              <font>
                <b val="0"/>
                <i val="0"/>
                <color theme="9" tint="-0.499984740745262"/>
              </font>
              <fill>
                <patternFill>
                  <bgColor theme="9" tint="0.59996337778862885"/>
                </patternFill>
              </fill>
            </x14:dxf>
          </x14:cfRule>
          <x14:cfRule type="containsText" priority="35" operator="containsText" id="{F5953B63-C02C-4708-B930-3FC4B3D62B78}">
            <xm:f>NOT(ISERROR(SEARCH($A$2,B6)))</xm:f>
            <xm:f>$A$2</xm:f>
            <x14:dxf>
              <font>
                <b val="0"/>
                <i val="0"/>
                <color rgb="FFC00000"/>
              </font>
              <fill>
                <patternFill>
                  <bgColor rgb="FFFFCCCC"/>
                </patternFill>
              </fill>
            </x14:dxf>
          </x14:cfRule>
          <x14:cfRule type="containsText" priority="36" operator="containsText" id="{145FB54E-03E5-47A1-86D7-F9A43CD766CC}">
            <xm:f>NOT(ISERROR(SEARCH($A$3,B6)))</xm:f>
            <xm:f>$A$3</xm:f>
            <x14:dxf>
              <font>
                <b val="0"/>
                <i val="0"/>
                <color theme="7" tint="-0.499984740745262"/>
              </font>
              <fill>
                <patternFill>
                  <bgColor theme="7" tint="0.59996337778862885"/>
                </patternFill>
              </fill>
            </x14:dxf>
          </x14:cfRule>
          <xm:sqref>B6:B35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Overview!$C$9:$C$12</xm:f>
          </x14:formula1>
          <xm:sqref>D6:D35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G57"/>
  <sheetViews>
    <sheetView topLeftCell="B36" workbookViewId="0">
      <selection activeCell="C43" sqref="C43"/>
    </sheetView>
  </sheetViews>
  <sheetFormatPr defaultRowHeight="14.5" x14ac:dyDescent="0.35"/>
  <cols>
    <col min="1" max="1" width="3" bestFit="1" customWidth="1"/>
    <col min="2" max="2" width="74.1796875" style="245" customWidth="1"/>
    <col min="3" max="3" width="21.6328125" style="47" customWidth="1"/>
    <col min="4" max="4" width="19" style="47" customWidth="1"/>
    <col min="5" max="5" width="29.36328125" style="47" bestFit="1" customWidth="1"/>
    <col min="6" max="6" width="47.08984375" style="47" customWidth="1"/>
    <col min="7" max="7" width="13.54296875" style="47" customWidth="1"/>
  </cols>
  <sheetData>
    <row r="1" spans="1:7" ht="15" thickBot="1" x14ac:dyDescent="0.4">
      <c r="A1" s="268" t="s">
        <v>636</v>
      </c>
      <c r="B1" s="269"/>
      <c r="C1" s="269"/>
      <c r="D1" s="269"/>
      <c r="E1" s="269"/>
      <c r="F1" s="269"/>
      <c r="G1" s="270"/>
    </row>
    <row r="2" spans="1:7" ht="15" thickBot="1" x14ac:dyDescent="0.4">
      <c r="A2" s="60"/>
      <c r="B2" s="61" t="s">
        <v>343</v>
      </c>
      <c r="C2" s="61" t="s">
        <v>339</v>
      </c>
      <c r="D2" s="246" t="s">
        <v>340</v>
      </c>
      <c r="E2" s="247" t="s">
        <v>346</v>
      </c>
      <c r="F2" s="194" t="s">
        <v>341</v>
      </c>
      <c r="G2" s="179" t="s">
        <v>342</v>
      </c>
    </row>
    <row r="3" spans="1:7" ht="43.5" x14ac:dyDescent="0.35">
      <c r="A3" s="248">
        <v>1</v>
      </c>
      <c r="B3" s="159" t="s">
        <v>517</v>
      </c>
      <c r="C3" s="155" t="s">
        <v>518</v>
      </c>
      <c r="D3" s="156">
        <v>43201</v>
      </c>
      <c r="E3" s="157" t="s">
        <v>580</v>
      </c>
      <c r="F3" s="158" t="s">
        <v>581</v>
      </c>
      <c r="G3" s="180" t="s">
        <v>269</v>
      </c>
    </row>
    <row r="4" spans="1:7" ht="319" x14ac:dyDescent="0.35">
      <c r="A4" s="249">
        <v>2</v>
      </c>
      <c r="B4" s="160" t="s">
        <v>582</v>
      </c>
      <c r="C4" s="138" t="s">
        <v>518</v>
      </c>
      <c r="D4" s="139">
        <v>43201</v>
      </c>
      <c r="E4" s="145" t="s">
        <v>579</v>
      </c>
      <c r="F4" s="146" t="s">
        <v>645</v>
      </c>
      <c r="G4" s="181" t="s">
        <v>269</v>
      </c>
    </row>
    <row r="5" spans="1:7" ht="29" x14ac:dyDescent="0.35">
      <c r="A5" s="250">
        <v>3</v>
      </c>
      <c r="B5" s="161" t="s">
        <v>519</v>
      </c>
      <c r="C5" s="150" t="s">
        <v>518</v>
      </c>
      <c r="D5" s="151">
        <v>43201</v>
      </c>
      <c r="E5" s="152" t="s">
        <v>585</v>
      </c>
      <c r="F5" s="153" t="s">
        <v>596</v>
      </c>
      <c r="G5" s="182" t="s">
        <v>269</v>
      </c>
    </row>
    <row r="6" spans="1:7" ht="43.5" x14ac:dyDescent="0.35">
      <c r="A6" s="251">
        <v>4</v>
      </c>
      <c r="B6" s="160" t="s">
        <v>520</v>
      </c>
      <c r="C6" s="138" t="s">
        <v>518</v>
      </c>
      <c r="D6" s="139">
        <v>43201</v>
      </c>
      <c r="E6" s="140" t="s">
        <v>574</v>
      </c>
      <c r="F6" s="138" t="s">
        <v>583</v>
      </c>
      <c r="G6" s="181" t="s">
        <v>269</v>
      </c>
    </row>
    <row r="7" spans="1:7" ht="43.5" x14ac:dyDescent="0.35">
      <c r="A7" s="252">
        <v>5</v>
      </c>
      <c r="B7" s="162" t="s">
        <v>575</v>
      </c>
      <c r="C7" s="141" t="s">
        <v>518</v>
      </c>
      <c r="D7" s="142">
        <v>43202</v>
      </c>
      <c r="E7" s="143" t="s">
        <v>576</v>
      </c>
      <c r="F7" s="144" t="s">
        <v>583</v>
      </c>
      <c r="G7" s="183" t="s">
        <v>269</v>
      </c>
    </row>
    <row r="8" spans="1:7" ht="87" x14ac:dyDescent="0.35">
      <c r="A8" s="251">
        <v>6</v>
      </c>
      <c r="B8" s="163" t="s">
        <v>646</v>
      </c>
      <c r="C8" s="146" t="s">
        <v>518</v>
      </c>
      <c r="D8" s="170">
        <v>43202</v>
      </c>
      <c r="E8" s="145" t="s">
        <v>603</v>
      </c>
      <c r="F8" s="146" t="s">
        <v>647</v>
      </c>
      <c r="G8" s="181" t="s">
        <v>269</v>
      </c>
    </row>
    <row r="9" spans="1:7" ht="87" x14ac:dyDescent="0.35">
      <c r="A9" s="252">
        <v>7</v>
      </c>
      <c r="B9" s="178" t="s">
        <v>584</v>
      </c>
      <c r="C9" s="175" t="s">
        <v>518</v>
      </c>
      <c r="D9" s="176">
        <v>43202</v>
      </c>
      <c r="E9" s="177" t="s">
        <v>633</v>
      </c>
      <c r="F9" s="175" t="s">
        <v>634</v>
      </c>
      <c r="G9" s="183" t="s">
        <v>269</v>
      </c>
    </row>
    <row r="10" spans="1:7" ht="29" x14ac:dyDescent="0.35">
      <c r="A10" s="251">
        <v>8</v>
      </c>
      <c r="B10" s="171" t="s">
        <v>577</v>
      </c>
      <c r="C10" s="146" t="s">
        <v>518</v>
      </c>
      <c r="D10" s="170">
        <v>43202</v>
      </c>
      <c r="E10" s="145" t="s">
        <v>617</v>
      </c>
      <c r="F10" s="146" t="s">
        <v>616</v>
      </c>
      <c r="G10" s="181" t="s">
        <v>269</v>
      </c>
    </row>
    <row r="11" spans="1:7" ht="29" x14ac:dyDescent="0.35">
      <c r="A11" s="252">
        <v>9</v>
      </c>
      <c r="B11" s="164" t="s">
        <v>578</v>
      </c>
      <c r="C11" s="147" t="s">
        <v>518</v>
      </c>
      <c r="D11" s="148">
        <v>43202</v>
      </c>
      <c r="E11" s="149" t="s">
        <v>589</v>
      </c>
      <c r="F11" s="147" t="s">
        <v>588</v>
      </c>
      <c r="G11" s="184" t="s">
        <v>269</v>
      </c>
    </row>
    <row r="12" spans="1:7" ht="101.5" x14ac:dyDescent="0.35">
      <c r="A12" s="249">
        <v>10</v>
      </c>
      <c r="B12" s="160" t="s">
        <v>586</v>
      </c>
      <c r="C12" s="138" t="s">
        <v>518</v>
      </c>
      <c r="D12" s="139">
        <v>43203</v>
      </c>
      <c r="E12" s="140" t="s">
        <v>618</v>
      </c>
      <c r="F12" s="138" t="s">
        <v>627</v>
      </c>
      <c r="G12" s="181" t="s">
        <v>269</v>
      </c>
    </row>
    <row r="13" spans="1:7" ht="43.5" x14ac:dyDescent="0.35">
      <c r="A13" s="253">
        <v>11</v>
      </c>
      <c r="B13" s="169" t="s">
        <v>592</v>
      </c>
      <c r="C13" s="167" t="s">
        <v>518</v>
      </c>
      <c r="D13" s="168">
        <v>43206</v>
      </c>
      <c r="E13" s="168" t="s">
        <v>567</v>
      </c>
      <c r="F13" s="167" t="s">
        <v>679</v>
      </c>
      <c r="G13" s="183" t="s">
        <v>269</v>
      </c>
    </row>
    <row r="14" spans="1:7" ht="87" x14ac:dyDescent="0.35">
      <c r="A14" s="249">
        <v>12</v>
      </c>
      <c r="B14" s="160" t="s">
        <v>598</v>
      </c>
      <c r="C14" s="138" t="s">
        <v>518</v>
      </c>
      <c r="D14" s="139">
        <v>43208</v>
      </c>
      <c r="E14" s="145" t="s">
        <v>615</v>
      </c>
      <c r="F14" s="146" t="s">
        <v>624</v>
      </c>
      <c r="G14" s="183" t="s">
        <v>269</v>
      </c>
    </row>
    <row r="15" spans="1:7" x14ac:dyDescent="0.35">
      <c r="A15" s="253">
        <v>13</v>
      </c>
      <c r="B15" s="169" t="s">
        <v>600</v>
      </c>
      <c r="C15" s="167" t="s">
        <v>518</v>
      </c>
      <c r="D15" s="168">
        <v>43208</v>
      </c>
      <c r="E15" s="168" t="s">
        <v>599</v>
      </c>
      <c r="F15" s="167" t="s">
        <v>611</v>
      </c>
      <c r="G15" s="183" t="s">
        <v>269</v>
      </c>
    </row>
    <row r="16" spans="1:7" ht="29" x14ac:dyDescent="0.35">
      <c r="A16" s="249">
        <v>14</v>
      </c>
      <c r="B16" s="165" t="s">
        <v>680</v>
      </c>
      <c r="C16" s="62" t="s">
        <v>518</v>
      </c>
      <c r="D16" s="63">
        <v>43208</v>
      </c>
      <c r="E16" s="186" t="s">
        <v>1133</v>
      </c>
      <c r="F16" s="62" t="s">
        <v>1140</v>
      </c>
      <c r="G16" s="181"/>
    </row>
    <row r="17" spans="1:7" ht="58" x14ac:dyDescent="0.35">
      <c r="A17" s="81">
        <v>15</v>
      </c>
      <c r="B17" s="189" t="s">
        <v>614</v>
      </c>
      <c r="C17" s="188" t="s">
        <v>518</v>
      </c>
      <c r="D17" s="151">
        <v>43214</v>
      </c>
      <c r="E17" s="188" t="s">
        <v>350</v>
      </c>
      <c r="F17" s="150" t="s">
        <v>664</v>
      </c>
      <c r="G17" s="182" t="s">
        <v>269</v>
      </c>
    </row>
    <row r="18" spans="1:7" ht="29" x14ac:dyDescent="0.35">
      <c r="A18" s="254">
        <v>16</v>
      </c>
      <c r="B18" s="160" t="s">
        <v>619</v>
      </c>
      <c r="C18" s="138" t="s">
        <v>518</v>
      </c>
      <c r="D18" s="139">
        <v>43208</v>
      </c>
      <c r="E18" s="139" t="s">
        <v>601</v>
      </c>
      <c r="F18" s="138" t="s">
        <v>1134</v>
      </c>
      <c r="G18" s="181" t="s">
        <v>269</v>
      </c>
    </row>
    <row r="19" spans="1:7" x14ac:dyDescent="0.35">
      <c r="A19" s="81">
        <v>17</v>
      </c>
      <c r="B19" s="161" t="s">
        <v>605</v>
      </c>
      <c r="C19" s="150" t="s">
        <v>518</v>
      </c>
      <c r="D19" s="151">
        <v>43213</v>
      </c>
      <c r="E19" s="151" t="s">
        <v>607</v>
      </c>
      <c r="F19" s="150" t="s">
        <v>611</v>
      </c>
      <c r="G19" s="182" t="s">
        <v>269</v>
      </c>
    </row>
    <row r="20" spans="1:7" ht="43.5" x14ac:dyDescent="0.35">
      <c r="A20" s="254">
        <v>18</v>
      </c>
      <c r="B20" s="160" t="s">
        <v>606</v>
      </c>
      <c r="C20" s="138" t="s">
        <v>518</v>
      </c>
      <c r="D20" s="139">
        <v>43213</v>
      </c>
      <c r="E20" s="139" t="s">
        <v>607</v>
      </c>
      <c r="F20" s="138" t="s">
        <v>611</v>
      </c>
      <c r="G20" s="181" t="s">
        <v>269</v>
      </c>
    </row>
    <row r="21" spans="1:7" ht="130.5" x14ac:dyDescent="0.35">
      <c r="A21" s="81">
        <v>19</v>
      </c>
      <c r="B21" s="161" t="s">
        <v>658</v>
      </c>
      <c r="C21" s="150" t="s">
        <v>518</v>
      </c>
      <c r="D21" s="151">
        <v>43214</v>
      </c>
      <c r="E21" s="187" t="s">
        <v>659</v>
      </c>
      <c r="F21" s="150" t="s">
        <v>660</v>
      </c>
      <c r="G21" s="182" t="s">
        <v>269</v>
      </c>
    </row>
    <row r="22" spans="1:7" ht="29" x14ac:dyDescent="0.35">
      <c r="A22" s="255">
        <v>20</v>
      </c>
      <c r="B22" s="266" t="s">
        <v>612</v>
      </c>
      <c r="C22" s="265" t="s">
        <v>518</v>
      </c>
      <c r="D22" s="241">
        <v>43214</v>
      </c>
      <c r="E22" s="241" t="s">
        <v>613</v>
      </c>
      <c r="F22" s="265" t="s">
        <v>1141</v>
      </c>
      <c r="G22" s="185" t="s">
        <v>269</v>
      </c>
    </row>
    <row r="23" spans="1:7" ht="29" x14ac:dyDescent="0.35">
      <c r="A23" s="256">
        <v>21</v>
      </c>
      <c r="B23" s="189" t="s">
        <v>625</v>
      </c>
      <c r="C23" s="188" t="s">
        <v>518</v>
      </c>
      <c r="D23" s="151">
        <v>43217</v>
      </c>
      <c r="E23" s="188" t="s">
        <v>626</v>
      </c>
      <c r="F23" s="190" t="s">
        <v>1134</v>
      </c>
      <c r="G23" s="182" t="s">
        <v>269</v>
      </c>
    </row>
    <row r="24" spans="1:7" ht="87" x14ac:dyDescent="0.35">
      <c r="A24" s="254">
        <v>22</v>
      </c>
      <c r="B24" s="174" t="s">
        <v>628</v>
      </c>
      <c r="C24" s="172" t="s">
        <v>518</v>
      </c>
      <c r="D24" s="139">
        <v>43220</v>
      </c>
      <c r="E24" s="173" t="s">
        <v>633</v>
      </c>
      <c r="F24" s="172" t="s">
        <v>632</v>
      </c>
      <c r="G24" s="181" t="s">
        <v>269</v>
      </c>
    </row>
    <row r="25" spans="1:7" ht="43.5" x14ac:dyDescent="0.35">
      <c r="A25" s="256">
        <v>23</v>
      </c>
      <c r="B25" s="189" t="s">
        <v>638</v>
      </c>
      <c r="C25" s="188" t="s">
        <v>518</v>
      </c>
      <c r="D25" s="151">
        <v>43222</v>
      </c>
      <c r="E25" s="190" t="s">
        <v>639</v>
      </c>
      <c r="F25" s="190" t="s">
        <v>1142</v>
      </c>
      <c r="G25" s="182" t="s">
        <v>269</v>
      </c>
    </row>
    <row r="26" spans="1:7" ht="29" x14ac:dyDescent="0.35">
      <c r="A26" s="254">
        <v>24</v>
      </c>
      <c r="B26" s="174" t="s">
        <v>648</v>
      </c>
      <c r="C26" s="172" t="s">
        <v>518</v>
      </c>
      <c r="D26" s="139">
        <v>43228</v>
      </c>
      <c r="E26" s="172" t="s">
        <v>351</v>
      </c>
      <c r="F26" s="172" t="s">
        <v>664</v>
      </c>
      <c r="G26" s="181" t="s">
        <v>269</v>
      </c>
    </row>
    <row r="27" spans="1:7" ht="29" x14ac:dyDescent="0.35">
      <c r="A27" s="256">
        <v>25</v>
      </c>
      <c r="B27" s="189" t="s">
        <v>640</v>
      </c>
      <c r="C27" s="188" t="s">
        <v>518</v>
      </c>
      <c r="D27" s="151">
        <v>43227</v>
      </c>
      <c r="E27" s="190" t="s">
        <v>1143</v>
      </c>
      <c r="F27" s="188" t="s">
        <v>665</v>
      </c>
      <c r="G27" s="182" t="s">
        <v>269</v>
      </c>
    </row>
    <row r="28" spans="1:7" ht="43.5" x14ac:dyDescent="0.35">
      <c r="A28" s="254">
        <v>26</v>
      </c>
      <c r="B28" s="174" t="s">
        <v>651</v>
      </c>
      <c r="C28" s="172" t="s">
        <v>652</v>
      </c>
      <c r="D28" s="139">
        <v>43228</v>
      </c>
      <c r="E28" s="173" t="s">
        <v>653</v>
      </c>
      <c r="F28" s="172" t="s">
        <v>657</v>
      </c>
      <c r="G28" s="181" t="s">
        <v>269</v>
      </c>
    </row>
    <row r="29" spans="1:7" ht="87" x14ac:dyDescent="0.35">
      <c r="A29" s="256">
        <v>27</v>
      </c>
      <c r="B29" s="189" t="s">
        <v>667</v>
      </c>
      <c r="C29" s="188" t="s">
        <v>652</v>
      </c>
      <c r="D29" s="151">
        <v>43269</v>
      </c>
      <c r="E29" s="190" t="s">
        <v>1077</v>
      </c>
      <c r="F29" s="190" t="s">
        <v>1076</v>
      </c>
      <c r="G29" s="183" t="s">
        <v>269</v>
      </c>
    </row>
    <row r="30" spans="1:7" ht="58" x14ac:dyDescent="0.35">
      <c r="A30" s="254">
        <v>28</v>
      </c>
      <c r="B30" s="174" t="s">
        <v>668</v>
      </c>
      <c r="C30" s="172" t="s">
        <v>518</v>
      </c>
      <c r="D30" s="139">
        <v>43269</v>
      </c>
      <c r="E30" s="172" t="s">
        <v>163</v>
      </c>
      <c r="F30" s="172" t="s">
        <v>1078</v>
      </c>
      <c r="G30" s="181" t="s">
        <v>269</v>
      </c>
    </row>
    <row r="31" spans="1:7" ht="58" x14ac:dyDescent="0.35">
      <c r="A31" s="256">
        <v>29</v>
      </c>
      <c r="B31" s="189" t="s">
        <v>669</v>
      </c>
      <c r="C31" s="188" t="s">
        <v>518</v>
      </c>
      <c r="D31" s="151">
        <v>43271</v>
      </c>
      <c r="E31" s="190" t="s">
        <v>1044</v>
      </c>
      <c r="F31" s="190" t="s">
        <v>1079</v>
      </c>
      <c r="G31" s="181" t="s">
        <v>269</v>
      </c>
    </row>
    <row r="32" spans="1:7" ht="29" x14ac:dyDescent="0.35">
      <c r="A32" s="255">
        <v>30</v>
      </c>
      <c r="B32" s="243" t="s">
        <v>671</v>
      </c>
      <c r="C32" s="240" t="s">
        <v>518</v>
      </c>
      <c r="D32" s="241">
        <v>43271</v>
      </c>
      <c r="E32" s="242" t="s">
        <v>670</v>
      </c>
      <c r="F32" s="242" t="s">
        <v>1080</v>
      </c>
      <c r="G32" s="181" t="s">
        <v>269</v>
      </c>
    </row>
    <row r="33" spans="1:7" x14ac:dyDescent="0.35">
      <c r="A33" s="256">
        <v>31</v>
      </c>
      <c r="B33" s="189" t="s">
        <v>672</v>
      </c>
      <c r="C33" s="188" t="s">
        <v>518</v>
      </c>
      <c r="D33" s="151">
        <v>43271</v>
      </c>
      <c r="E33" s="190" t="s">
        <v>673</v>
      </c>
      <c r="F33" s="188" t="s">
        <v>674</v>
      </c>
      <c r="G33" s="181" t="s">
        <v>269</v>
      </c>
    </row>
    <row r="34" spans="1:7" ht="43.5" x14ac:dyDescent="0.35">
      <c r="A34" s="254">
        <v>32</v>
      </c>
      <c r="B34" s="174" t="s">
        <v>681</v>
      </c>
      <c r="C34" s="172" t="s">
        <v>518</v>
      </c>
      <c r="D34" s="139">
        <v>43271</v>
      </c>
      <c r="E34" s="242" t="s">
        <v>1075</v>
      </c>
      <c r="F34" s="173" t="s">
        <v>1125</v>
      </c>
      <c r="G34" s="181" t="s">
        <v>269</v>
      </c>
    </row>
    <row r="35" spans="1:7" ht="116" x14ac:dyDescent="0.35">
      <c r="A35" s="256">
        <v>33</v>
      </c>
      <c r="B35" s="189" t="s">
        <v>1020</v>
      </c>
      <c r="C35" s="188" t="s">
        <v>518</v>
      </c>
      <c r="D35" s="151">
        <v>43298</v>
      </c>
      <c r="E35" s="190" t="s">
        <v>1019</v>
      </c>
      <c r="F35" s="188" t="s">
        <v>1029</v>
      </c>
      <c r="G35" s="183" t="s">
        <v>269</v>
      </c>
    </row>
    <row r="36" spans="1:7" ht="29" x14ac:dyDescent="0.35">
      <c r="A36" s="255">
        <v>34</v>
      </c>
      <c r="B36" s="243" t="s">
        <v>1013</v>
      </c>
      <c r="C36" s="240" t="s">
        <v>518</v>
      </c>
      <c r="D36" s="241">
        <v>43298</v>
      </c>
      <c r="E36" s="242" t="s">
        <v>1019</v>
      </c>
      <c r="F36" s="240" t="s">
        <v>1043</v>
      </c>
      <c r="G36" s="181" t="s">
        <v>269</v>
      </c>
    </row>
    <row r="37" spans="1:7" ht="43.5" x14ac:dyDescent="0.35">
      <c r="A37" s="256">
        <v>35</v>
      </c>
      <c r="B37" s="189" t="s">
        <v>1032</v>
      </c>
      <c r="C37" s="188" t="s">
        <v>652</v>
      </c>
      <c r="D37" s="151">
        <v>43306</v>
      </c>
      <c r="E37" s="190" t="s">
        <v>1072</v>
      </c>
      <c r="F37" s="190" t="s">
        <v>1144</v>
      </c>
      <c r="G37" s="183" t="s">
        <v>269</v>
      </c>
    </row>
    <row r="38" spans="1:7" ht="27.65" customHeight="1" x14ac:dyDescent="0.35">
      <c r="A38" s="254">
        <v>36</v>
      </c>
      <c r="B38" s="174" t="s">
        <v>1015</v>
      </c>
      <c r="C38" s="240" t="s">
        <v>518</v>
      </c>
      <c r="D38" s="241">
        <v>43298</v>
      </c>
      <c r="E38" s="242" t="s">
        <v>1014</v>
      </c>
      <c r="F38" s="172" t="s">
        <v>1030</v>
      </c>
      <c r="G38" s="181" t="s">
        <v>269</v>
      </c>
    </row>
    <row r="39" spans="1:7" x14ac:dyDescent="0.35">
      <c r="A39" s="256">
        <v>37</v>
      </c>
      <c r="B39" s="189" t="s">
        <v>1016</v>
      </c>
      <c r="C39" s="188" t="s">
        <v>518</v>
      </c>
      <c r="D39" s="151">
        <v>43298</v>
      </c>
      <c r="E39" s="190" t="s">
        <v>1014</v>
      </c>
      <c r="F39" s="188" t="s">
        <v>1030</v>
      </c>
      <c r="G39" s="183" t="s">
        <v>269</v>
      </c>
    </row>
    <row r="40" spans="1:7" ht="43.5" x14ac:dyDescent="0.35">
      <c r="A40" s="254">
        <v>38</v>
      </c>
      <c r="B40" s="174" t="s">
        <v>1017</v>
      </c>
      <c r="C40" s="240" t="s">
        <v>518</v>
      </c>
      <c r="D40" s="241">
        <v>43298</v>
      </c>
      <c r="E40" s="242" t="s">
        <v>1024</v>
      </c>
      <c r="F40" s="172" t="s">
        <v>1105</v>
      </c>
      <c r="G40" s="181" t="s">
        <v>269</v>
      </c>
    </row>
    <row r="41" spans="1:7" ht="43.5" x14ac:dyDescent="0.35">
      <c r="A41" s="256">
        <v>39</v>
      </c>
      <c r="B41" s="189" t="s">
        <v>1027</v>
      </c>
      <c r="C41" s="188" t="s">
        <v>518</v>
      </c>
      <c r="D41" s="151">
        <v>43300</v>
      </c>
      <c r="E41" s="188" t="s">
        <v>1022</v>
      </c>
      <c r="F41" s="188" t="s">
        <v>1031</v>
      </c>
      <c r="G41" s="183" t="s">
        <v>269</v>
      </c>
    </row>
    <row r="42" spans="1:7" ht="29" x14ac:dyDescent="0.35">
      <c r="A42" s="254">
        <v>40</v>
      </c>
      <c r="B42" s="174" t="s">
        <v>1021</v>
      </c>
      <c r="C42" s="172" t="s">
        <v>518</v>
      </c>
      <c r="D42" s="241">
        <v>43298</v>
      </c>
      <c r="E42" s="242" t="s">
        <v>1019</v>
      </c>
      <c r="F42" s="172" t="s">
        <v>1043</v>
      </c>
      <c r="G42" s="181" t="s">
        <v>269</v>
      </c>
    </row>
    <row r="43" spans="1:7" ht="29" x14ac:dyDescent="0.35">
      <c r="A43" s="256">
        <v>41</v>
      </c>
      <c r="B43" s="189" t="s">
        <v>1028</v>
      </c>
      <c r="C43" s="188" t="s">
        <v>518</v>
      </c>
      <c r="D43" s="151">
        <v>43300</v>
      </c>
      <c r="E43" s="188" t="s">
        <v>1022</v>
      </c>
      <c r="F43" s="188" t="s">
        <v>1031</v>
      </c>
      <c r="G43" s="183" t="s">
        <v>269</v>
      </c>
    </row>
    <row r="44" spans="1:7" ht="29" x14ac:dyDescent="0.35">
      <c r="A44" s="254">
        <v>42</v>
      </c>
      <c r="B44" s="174" t="s">
        <v>1023</v>
      </c>
      <c r="C44" s="172" t="s">
        <v>518</v>
      </c>
      <c r="D44" s="241">
        <v>43300</v>
      </c>
      <c r="E44" s="172" t="s">
        <v>554</v>
      </c>
      <c r="F44" s="172" t="s">
        <v>1034</v>
      </c>
      <c r="G44" s="181" t="s">
        <v>269</v>
      </c>
    </row>
    <row r="45" spans="1:7" ht="29" x14ac:dyDescent="0.35">
      <c r="A45" s="256">
        <v>43</v>
      </c>
      <c r="B45" s="189" t="s">
        <v>1025</v>
      </c>
      <c r="C45" s="188" t="s">
        <v>518</v>
      </c>
      <c r="D45" s="151">
        <v>43300</v>
      </c>
      <c r="E45" s="188" t="s">
        <v>61</v>
      </c>
      <c r="F45" s="188" t="s">
        <v>1106</v>
      </c>
      <c r="G45" s="183" t="s">
        <v>269</v>
      </c>
    </row>
    <row r="46" spans="1:7" x14ac:dyDescent="0.35">
      <c r="A46" s="254">
        <v>44</v>
      </c>
      <c r="B46" s="174" t="s">
        <v>1026</v>
      </c>
      <c r="C46" s="172" t="s">
        <v>518</v>
      </c>
      <c r="D46" s="241">
        <v>43300</v>
      </c>
      <c r="E46" s="172" t="s">
        <v>45</v>
      </c>
      <c r="F46" s="172" t="s">
        <v>1105</v>
      </c>
      <c r="G46" s="181" t="s">
        <v>269</v>
      </c>
    </row>
    <row r="47" spans="1:7" ht="43.5" x14ac:dyDescent="0.35">
      <c r="A47" s="256">
        <v>45</v>
      </c>
      <c r="B47" s="189" t="s">
        <v>1042</v>
      </c>
      <c r="C47" s="188" t="s">
        <v>518</v>
      </c>
      <c r="D47" s="151">
        <v>43306</v>
      </c>
      <c r="E47" s="188" t="s">
        <v>1033</v>
      </c>
      <c r="F47" s="188" t="s">
        <v>1071</v>
      </c>
      <c r="G47" s="183" t="s">
        <v>269</v>
      </c>
    </row>
    <row r="48" spans="1:7" x14ac:dyDescent="0.35">
      <c r="A48" s="254">
        <v>46</v>
      </c>
      <c r="B48" s="174" t="s">
        <v>1035</v>
      </c>
      <c r="C48" s="172" t="s">
        <v>518</v>
      </c>
      <c r="D48" s="241">
        <v>43308</v>
      </c>
      <c r="E48" s="172" t="s">
        <v>1036</v>
      </c>
      <c r="F48" s="172" t="s">
        <v>1043</v>
      </c>
      <c r="G48" s="181" t="s">
        <v>269</v>
      </c>
    </row>
    <row r="49" spans="1:7" ht="43.5" x14ac:dyDescent="0.35">
      <c r="A49" s="256">
        <v>47</v>
      </c>
      <c r="B49" s="189" t="s">
        <v>1037</v>
      </c>
      <c r="C49" s="188" t="s">
        <v>518</v>
      </c>
      <c r="D49" s="142">
        <v>43308</v>
      </c>
      <c r="E49" s="190" t="s">
        <v>1045</v>
      </c>
      <c r="F49" s="188" t="s">
        <v>1064</v>
      </c>
      <c r="G49" s="183" t="s">
        <v>269</v>
      </c>
    </row>
    <row r="50" spans="1:7" ht="29" x14ac:dyDescent="0.35">
      <c r="A50" s="254">
        <v>48</v>
      </c>
      <c r="B50" s="174" t="s">
        <v>1046</v>
      </c>
      <c r="C50" s="172" t="s">
        <v>518</v>
      </c>
      <c r="D50" s="241">
        <v>43311</v>
      </c>
      <c r="E50" s="173" t="s">
        <v>1036</v>
      </c>
      <c r="F50" s="172" t="s">
        <v>1059</v>
      </c>
      <c r="G50" s="181" t="s">
        <v>269</v>
      </c>
    </row>
    <row r="51" spans="1:7" x14ac:dyDescent="0.35">
      <c r="A51" s="256">
        <v>49</v>
      </c>
      <c r="B51" s="244" t="s">
        <v>1047</v>
      </c>
      <c r="C51" s="188" t="s">
        <v>652</v>
      </c>
      <c r="D51" s="142">
        <v>43311</v>
      </c>
      <c r="E51" s="188" t="s">
        <v>190</v>
      </c>
      <c r="F51" s="188" t="s">
        <v>1059</v>
      </c>
      <c r="G51" s="183" t="s">
        <v>269</v>
      </c>
    </row>
    <row r="52" spans="1:7" x14ac:dyDescent="0.35">
      <c r="A52" s="257">
        <v>50</v>
      </c>
      <c r="B52" s="174" t="s">
        <v>1085</v>
      </c>
      <c r="C52" s="172" t="s">
        <v>518</v>
      </c>
      <c r="D52" s="139">
        <v>43321</v>
      </c>
      <c r="E52" s="172" t="s">
        <v>1081</v>
      </c>
      <c r="F52" s="172" t="s">
        <v>1087</v>
      </c>
      <c r="G52" s="181" t="s">
        <v>269</v>
      </c>
    </row>
    <row r="53" spans="1:7" ht="29" x14ac:dyDescent="0.35">
      <c r="A53" s="258">
        <v>51</v>
      </c>
      <c r="B53" s="189" t="s">
        <v>1082</v>
      </c>
      <c r="C53" s="188" t="s">
        <v>518</v>
      </c>
      <c r="D53" s="151">
        <v>43321</v>
      </c>
      <c r="E53" s="188" t="s">
        <v>166</v>
      </c>
      <c r="F53" s="188" t="s">
        <v>1126</v>
      </c>
      <c r="G53" s="183" t="s">
        <v>269</v>
      </c>
    </row>
    <row r="54" spans="1:7" ht="58" x14ac:dyDescent="0.35">
      <c r="A54" s="259">
        <v>52</v>
      </c>
      <c r="B54" s="174" t="s">
        <v>1083</v>
      </c>
      <c r="C54" s="172" t="s">
        <v>518</v>
      </c>
      <c r="D54" s="139">
        <v>43321</v>
      </c>
      <c r="E54" s="172" t="s">
        <v>175</v>
      </c>
      <c r="F54" s="172" t="s">
        <v>1126</v>
      </c>
      <c r="G54" s="181" t="s">
        <v>269</v>
      </c>
    </row>
    <row r="55" spans="1:7" ht="29" x14ac:dyDescent="0.35">
      <c r="A55" s="258">
        <v>53</v>
      </c>
      <c r="B55" s="166" t="s">
        <v>1084</v>
      </c>
      <c r="C55" s="103" t="s">
        <v>518</v>
      </c>
      <c r="D55" s="64">
        <v>43321</v>
      </c>
      <c r="E55" s="103" t="s">
        <v>179</v>
      </c>
      <c r="F55" s="106" t="s">
        <v>1145</v>
      </c>
      <c r="G55" s="183"/>
    </row>
    <row r="56" spans="1:7" ht="43.5" x14ac:dyDescent="0.35">
      <c r="A56" s="260">
        <v>54</v>
      </c>
      <c r="B56" s="174" t="s">
        <v>1095</v>
      </c>
      <c r="C56" s="172" t="s">
        <v>518</v>
      </c>
      <c r="D56" s="139">
        <v>43326</v>
      </c>
      <c r="E56" s="172" t="s">
        <v>563</v>
      </c>
      <c r="F56" s="173" t="s">
        <v>1148</v>
      </c>
      <c r="G56" s="181" t="s">
        <v>269</v>
      </c>
    </row>
    <row r="57" spans="1:7" ht="29.5" thickBot="1" x14ac:dyDescent="0.4">
      <c r="A57" s="258">
        <v>55</v>
      </c>
      <c r="B57" s="264" t="s">
        <v>1023</v>
      </c>
      <c r="C57" s="262" t="s">
        <v>518</v>
      </c>
      <c r="D57" s="263">
        <v>43328</v>
      </c>
      <c r="E57" s="262" t="s">
        <v>554</v>
      </c>
      <c r="F57" s="262" t="s">
        <v>1134</v>
      </c>
      <c r="G57" s="261" t="s">
        <v>269</v>
      </c>
    </row>
  </sheetData>
  <mergeCells count="1">
    <mergeCell ref="A1:G1"/>
  </mergeCells>
  <conditionalFormatting sqref="G1:G22">
    <cfRule type="containsText" dxfId="87" priority="78" operator="containsText" text="Yes">
      <formula>NOT(ISERROR(SEARCH("Yes",G1)))</formula>
    </cfRule>
  </conditionalFormatting>
  <conditionalFormatting sqref="G3:G22">
    <cfRule type="containsText" dxfId="86" priority="76" operator="containsText" text="No">
      <formula>NOT(ISERROR(SEARCH("No",G3)))</formula>
    </cfRule>
    <cfRule type="containsText" dxfId="85" priority="77" operator="containsText" text="Yes">
      <formula>NOT(ISERROR(SEARCH("Yes",G3)))</formula>
    </cfRule>
  </conditionalFormatting>
  <conditionalFormatting sqref="E32 E24">
    <cfRule type="expression" dxfId="84" priority="74">
      <formula>F24="Fail"</formula>
    </cfRule>
    <cfRule type="expression" dxfId="83" priority="75">
      <formula>F24="Pending"</formula>
    </cfRule>
  </conditionalFormatting>
  <conditionalFormatting sqref="E32 E24">
    <cfRule type="expression" dxfId="82" priority="73">
      <formula>F24="Pass"</formula>
    </cfRule>
  </conditionalFormatting>
  <conditionalFormatting sqref="E25">
    <cfRule type="expression" dxfId="81" priority="71">
      <formula>F25="Fail"</formula>
    </cfRule>
    <cfRule type="expression" dxfId="80" priority="72">
      <formula>F25="Pending"</formula>
    </cfRule>
  </conditionalFormatting>
  <conditionalFormatting sqref="E25">
    <cfRule type="expression" dxfId="79" priority="70">
      <formula>F25="Pass"</formula>
    </cfRule>
  </conditionalFormatting>
  <conditionalFormatting sqref="E27:E31">
    <cfRule type="expression" dxfId="78" priority="68">
      <formula>F27="Fail"</formula>
    </cfRule>
    <cfRule type="expression" dxfId="77" priority="69">
      <formula>F27="Pending"</formula>
    </cfRule>
  </conditionalFormatting>
  <conditionalFormatting sqref="E27:E31">
    <cfRule type="expression" dxfId="76" priority="67">
      <formula>F27="Pass"</formula>
    </cfRule>
  </conditionalFormatting>
  <conditionalFormatting sqref="G24">
    <cfRule type="containsText" dxfId="75" priority="66" operator="containsText" text="Yes">
      <formula>NOT(ISERROR(SEARCH("Yes",G24)))</formula>
    </cfRule>
  </conditionalFormatting>
  <conditionalFormatting sqref="G24">
    <cfRule type="containsText" dxfId="74" priority="64" operator="containsText" text="No">
      <formula>NOT(ISERROR(SEARCH("No",G24)))</formula>
    </cfRule>
    <cfRule type="containsText" dxfId="73" priority="65" operator="containsText" text="Yes">
      <formula>NOT(ISERROR(SEARCH("Yes",G24)))</formula>
    </cfRule>
  </conditionalFormatting>
  <conditionalFormatting sqref="E26">
    <cfRule type="expression" dxfId="72" priority="62">
      <formula>F26="Fail"</formula>
    </cfRule>
    <cfRule type="expression" dxfId="71" priority="63">
      <formula>F26="Pending"</formula>
    </cfRule>
  </conditionalFormatting>
  <conditionalFormatting sqref="E26">
    <cfRule type="expression" dxfId="70" priority="61">
      <formula>F26="Pass"</formula>
    </cfRule>
  </conditionalFormatting>
  <conditionalFormatting sqref="G28">
    <cfRule type="containsText" dxfId="69" priority="60" operator="containsText" text="Yes">
      <formula>NOT(ISERROR(SEARCH("Yes",G28)))</formula>
    </cfRule>
  </conditionalFormatting>
  <conditionalFormatting sqref="G28">
    <cfRule type="containsText" dxfId="68" priority="58" operator="containsText" text="No">
      <formula>NOT(ISERROR(SEARCH("No",G28)))</formula>
    </cfRule>
    <cfRule type="containsText" dxfId="67" priority="59" operator="containsText" text="Yes">
      <formula>NOT(ISERROR(SEARCH("Yes",G28)))</formula>
    </cfRule>
  </conditionalFormatting>
  <conditionalFormatting sqref="G26">
    <cfRule type="containsText" dxfId="66" priority="57" operator="containsText" text="Yes">
      <formula>NOT(ISERROR(SEARCH("Yes",G26)))</formula>
    </cfRule>
  </conditionalFormatting>
  <conditionalFormatting sqref="G26">
    <cfRule type="containsText" dxfId="65" priority="55" operator="containsText" text="No">
      <formula>NOT(ISERROR(SEARCH("No",G26)))</formula>
    </cfRule>
    <cfRule type="containsText" dxfId="64" priority="56" operator="containsText" text="Yes">
      <formula>NOT(ISERROR(SEARCH("Yes",G26)))</formula>
    </cfRule>
  </conditionalFormatting>
  <conditionalFormatting sqref="E36">
    <cfRule type="expression" dxfId="63" priority="53">
      <formula>F36="Fail"</formula>
    </cfRule>
    <cfRule type="expression" dxfId="62" priority="54">
      <formula>F36="Pending"</formula>
    </cfRule>
  </conditionalFormatting>
  <conditionalFormatting sqref="E36">
    <cfRule type="expression" dxfId="61" priority="52">
      <formula>F36="Pass"</formula>
    </cfRule>
  </conditionalFormatting>
  <conditionalFormatting sqref="E33 E35">
    <cfRule type="expression" dxfId="60" priority="50">
      <formula>F33="Fail"</formula>
    </cfRule>
    <cfRule type="expression" dxfId="59" priority="51">
      <formula>F33="Pending"</formula>
    </cfRule>
  </conditionalFormatting>
  <conditionalFormatting sqref="E33 E35">
    <cfRule type="expression" dxfId="58" priority="49">
      <formula>F33="Pass"</formula>
    </cfRule>
  </conditionalFormatting>
  <conditionalFormatting sqref="E34">
    <cfRule type="expression" dxfId="57" priority="47">
      <formula>F34="Fail"</formula>
    </cfRule>
    <cfRule type="expression" dxfId="56" priority="48">
      <formula>F34="Pending"</formula>
    </cfRule>
  </conditionalFormatting>
  <conditionalFormatting sqref="E34">
    <cfRule type="expression" dxfId="55" priority="46">
      <formula>F34="Pass"</formula>
    </cfRule>
  </conditionalFormatting>
  <conditionalFormatting sqref="G29:G33">
    <cfRule type="containsText" dxfId="54" priority="45" operator="containsText" text="Yes">
      <formula>NOT(ISERROR(SEARCH("Yes",G29)))</formula>
    </cfRule>
  </conditionalFormatting>
  <conditionalFormatting sqref="G29:G33">
    <cfRule type="containsText" dxfId="53" priority="43" operator="containsText" text="No">
      <formula>NOT(ISERROR(SEARCH("No",G29)))</formula>
    </cfRule>
    <cfRule type="containsText" dxfId="52" priority="44" operator="containsText" text="Yes">
      <formula>NOT(ISERROR(SEARCH("Yes",G29)))</formula>
    </cfRule>
  </conditionalFormatting>
  <conditionalFormatting sqref="E38">
    <cfRule type="expression" dxfId="51" priority="41">
      <formula>F38="Fail"</formula>
    </cfRule>
    <cfRule type="expression" dxfId="50" priority="42">
      <formula>F38="Pending"</formula>
    </cfRule>
  </conditionalFormatting>
  <conditionalFormatting sqref="E38">
    <cfRule type="expression" dxfId="49" priority="40">
      <formula>F38="Pass"</formula>
    </cfRule>
  </conditionalFormatting>
  <conditionalFormatting sqref="E37">
    <cfRule type="expression" dxfId="48" priority="38">
      <formula>F37="Fail"</formula>
    </cfRule>
    <cfRule type="expression" dxfId="47" priority="39">
      <formula>F37="Pending"</formula>
    </cfRule>
  </conditionalFormatting>
  <conditionalFormatting sqref="E37">
    <cfRule type="expression" dxfId="46" priority="37">
      <formula>F37="Pass"</formula>
    </cfRule>
  </conditionalFormatting>
  <conditionalFormatting sqref="E40">
    <cfRule type="expression" dxfId="45" priority="35">
      <formula>F40="Fail"</formula>
    </cfRule>
    <cfRule type="expression" dxfId="44" priority="36">
      <formula>F40="Pending"</formula>
    </cfRule>
  </conditionalFormatting>
  <conditionalFormatting sqref="E40">
    <cfRule type="expression" dxfId="43" priority="34">
      <formula>F40="Pass"</formula>
    </cfRule>
  </conditionalFormatting>
  <conditionalFormatting sqref="E39">
    <cfRule type="expression" dxfId="42" priority="32">
      <formula>F39="Fail"</formula>
    </cfRule>
    <cfRule type="expression" dxfId="41" priority="33">
      <formula>F39="Pending"</formula>
    </cfRule>
  </conditionalFormatting>
  <conditionalFormatting sqref="E39">
    <cfRule type="expression" dxfId="40" priority="31">
      <formula>F39="Pass"</formula>
    </cfRule>
  </conditionalFormatting>
  <conditionalFormatting sqref="G34:G52">
    <cfRule type="containsText" dxfId="39" priority="30" operator="containsText" text="Yes">
      <formula>NOT(ISERROR(SEARCH("Yes",G34)))</formula>
    </cfRule>
  </conditionalFormatting>
  <conditionalFormatting sqref="G34:G52">
    <cfRule type="containsText" dxfId="38" priority="28" operator="containsText" text="No">
      <formula>NOT(ISERROR(SEARCH("No",G34)))</formula>
    </cfRule>
    <cfRule type="containsText" dxfId="37" priority="29" operator="containsText" text="Yes">
      <formula>NOT(ISERROR(SEARCH("Yes",G34)))</formula>
    </cfRule>
  </conditionalFormatting>
  <conditionalFormatting sqref="E42">
    <cfRule type="expression" dxfId="36" priority="26">
      <formula>F42="Fail"</formula>
    </cfRule>
    <cfRule type="expression" dxfId="35" priority="27">
      <formula>F42="Pending"</formula>
    </cfRule>
  </conditionalFormatting>
  <conditionalFormatting sqref="E42">
    <cfRule type="expression" dxfId="34" priority="25">
      <formula>F42="Pass"</formula>
    </cfRule>
  </conditionalFormatting>
  <conditionalFormatting sqref="G53">
    <cfRule type="containsText" dxfId="33" priority="24" operator="containsText" text="Yes">
      <formula>NOT(ISERROR(SEARCH("Yes",G53)))</formula>
    </cfRule>
  </conditionalFormatting>
  <conditionalFormatting sqref="G53">
    <cfRule type="containsText" dxfId="32" priority="22" operator="containsText" text="No">
      <formula>NOT(ISERROR(SEARCH("No",G53)))</formula>
    </cfRule>
    <cfRule type="containsText" dxfId="31" priority="23" operator="containsText" text="Yes">
      <formula>NOT(ISERROR(SEARCH("Yes",G53)))</formula>
    </cfRule>
  </conditionalFormatting>
  <conditionalFormatting sqref="G54">
    <cfRule type="containsText" dxfId="30" priority="21" operator="containsText" text="Yes">
      <formula>NOT(ISERROR(SEARCH("Yes",G54)))</formula>
    </cfRule>
  </conditionalFormatting>
  <conditionalFormatting sqref="G54">
    <cfRule type="containsText" dxfId="29" priority="19" operator="containsText" text="No">
      <formula>NOT(ISERROR(SEARCH("No",G54)))</formula>
    </cfRule>
    <cfRule type="containsText" dxfId="28" priority="20" operator="containsText" text="Yes">
      <formula>NOT(ISERROR(SEARCH("Yes",G54)))</formula>
    </cfRule>
  </conditionalFormatting>
  <conditionalFormatting sqref="G56">
    <cfRule type="containsText" dxfId="27" priority="18" operator="containsText" text="Yes">
      <formula>NOT(ISERROR(SEARCH("Yes",G56)))</formula>
    </cfRule>
  </conditionalFormatting>
  <conditionalFormatting sqref="G56">
    <cfRule type="containsText" dxfId="26" priority="16" operator="containsText" text="No">
      <formula>NOT(ISERROR(SEARCH("No",G56)))</formula>
    </cfRule>
    <cfRule type="containsText" dxfId="25" priority="17" operator="containsText" text="Yes">
      <formula>NOT(ISERROR(SEARCH("Yes",G56)))</formula>
    </cfRule>
  </conditionalFormatting>
  <conditionalFormatting sqref="G55">
    <cfRule type="containsText" dxfId="24" priority="15" operator="containsText" text="Yes">
      <formula>NOT(ISERROR(SEARCH("Yes",G55)))</formula>
    </cfRule>
  </conditionalFormatting>
  <conditionalFormatting sqref="G55">
    <cfRule type="containsText" dxfId="23" priority="13" operator="containsText" text="No">
      <formula>NOT(ISERROR(SEARCH("No",G55)))</formula>
    </cfRule>
    <cfRule type="containsText" dxfId="22" priority="14" operator="containsText" text="Yes">
      <formula>NOT(ISERROR(SEARCH("Yes",G55)))</formula>
    </cfRule>
  </conditionalFormatting>
  <conditionalFormatting sqref="G57">
    <cfRule type="containsText" dxfId="21" priority="12" operator="containsText" text="Yes">
      <formula>NOT(ISERROR(SEARCH("Yes",G57)))</formula>
    </cfRule>
  </conditionalFormatting>
  <conditionalFormatting sqref="G57">
    <cfRule type="containsText" dxfId="20" priority="10" operator="containsText" text="No">
      <formula>NOT(ISERROR(SEARCH("No",G57)))</formula>
    </cfRule>
    <cfRule type="containsText" dxfId="19" priority="11" operator="containsText" text="Yes">
      <formula>NOT(ISERROR(SEARCH("Yes",G57)))</formula>
    </cfRule>
  </conditionalFormatting>
  <conditionalFormatting sqref="G23">
    <cfRule type="containsText" dxfId="18" priority="9" operator="containsText" text="Yes">
      <formula>NOT(ISERROR(SEARCH("Yes",G23)))</formula>
    </cfRule>
  </conditionalFormatting>
  <conditionalFormatting sqref="G23">
    <cfRule type="containsText" dxfId="17" priority="7" operator="containsText" text="No">
      <formula>NOT(ISERROR(SEARCH("No",G23)))</formula>
    </cfRule>
    <cfRule type="containsText" dxfId="16" priority="8" operator="containsText" text="Yes">
      <formula>NOT(ISERROR(SEARCH("Yes",G23)))</formula>
    </cfRule>
  </conditionalFormatting>
  <conditionalFormatting sqref="G25">
    <cfRule type="containsText" dxfId="15" priority="6" operator="containsText" text="Yes">
      <formula>NOT(ISERROR(SEARCH("Yes",G25)))</formula>
    </cfRule>
  </conditionalFormatting>
  <conditionalFormatting sqref="G25">
    <cfRule type="containsText" dxfId="14" priority="4" operator="containsText" text="No">
      <formula>NOT(ISERROR(SEARCH("No",G25)))</formula>
    </cfRule>
    <cfRule type="containsText" dxfId="13" priority="5" operator="containsText" text="Yes">
      <formula>NOT(ISERROR(SEARCH("Yes",G25)))</formula>
    </cfRule>
  </conditionalFormatting>
  <conditionalFormatting sqref="G27">
    <cfRule type="containsText" dxfId="12" priority="3" operator="containsText" text="Yes">
      <formula>NOT(ISERROR(SEARCH("Yes",G27)))</formula>
    </cfRule>
  </conditionalFormatting>
  <conditionalFormatting sqref="G27">
    <cfRule type="containsText" dxfId="11" priority="1" operator="containsText" text="No">
      <formula>NOT(ISERROR(SEARCH("No",G27)))</formula>
    </cfRule>
    <cfRule type="containsText" dxfId="10" priority="2" operator="containsText" text="Yes">
      <formula>NOT(ISERROR(SEARCH("Yes",G27)))</formula>
    </cfRule>
  </conditionalFormatting>
  <dataValidations count="2">
    <dataValidation type="list" allowBlank="1" showInputMessage="1" showErrorMessage="1" sqref="G24 G3:G22 G28 G26" xr:uid="{00000000-0002-0000-1200-000000000000}">
      <formula1>"Yes, No"</formula1>
    </dataValidation>
    <dataValidation type="list" allowBlank="1" showInputMessage="1" showErrorMessage="1" sqref="C3:C16 C18:C22" xr:uid="{00000000-0002-0000-1200-000001000000}">
      <formula1>"Client, Validation Team, UL, FD"</formula1>
    </dataValidation>
  </dataValidation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H66"/>
  <sheetViews>
    <sheetView topLeftCell="A3" workbookViewId="0">
      <selection activeCell="G32" sqref="G32:G33"/>
    </sheetView>
  </sheetViews>
  <sheetFormatPr defaultRowHeight="14.5" x14ac:dyDescent="0.35"/>
  <cols>
    <col min="1" max="1" width="5.36328125" style="121" bestFit="1" customWidth="1"/>
    <col min="2" max="2" width="17.90625" style="121" customWidth="1"/>
    <col min="3" max="3" width="21.81640625" style="47" bestFit="1" customWidth="1"/>
    <col min="4" max="4" width="21.08984375" style="47" customWidth="1"/>
    <col min="5" max="5" width="8.08984375" style="47" bestFit="1" customWidth="1"/>
    <col min="6" max="6" width="20.36328125" style="47" bestFit="1" customWidth="1"/>
    <col min="7" max="7" width="8" style="47" bestFit="1" customWidth="1"/>
    <col min="8" max="8" width="75.08984375" style="47" customWidth="1"/>
  </cols>
  <sheetData>
    <row r="1" spans="1:8" ht="15" thickBot="1" x14ac:dyDescent="0.4">
      <c r="A1" s="277" t="s">
        <v>399</v>
      </c>
      <c r="B1" s="278"/>
      <c r="C1" s="278"/>
      <c r="D1" s="278"/>
      <c r="E1" s="278"/>
      <c r="F1" s="278"/>
      <c r="G1" s="278"/>
      <c r="H1" s="279"/>
    </row>
    <row r="2" spans="1:8" ht="15" thickBot="1" x14ac:dyDescent="0.4">
      <c r="A2" s="92" t="s">
        <v>400</v>
      </c>
      <c r="B2" s="93" t="s">
        <v>401</v>
      </c>
      <c r="C2" s="94" t="s">
        <v>344</v>
      </c>
      <c r="D2" s="94" t="s">
        <v>361</v>
      </c>
      <c r="E2" s="94" t="s">
        <v>402</v>
      </c>
      <c r="F2" s="94" t="s">
        <v>403</v>
      </c>
      <c r="G2" s="94" t="s">
        <v>362</v>
      </c>
      <c r="H2" s="95" t="s">
        <v>404</v>
      </c>
    </row>
    <row r="3" spans="1:8" x14ac:dyDescent="0.35">
      <c r="A3" s="96" t="s">
        <v>405</v>
      </c>
      <c r="B3" s="97" t="s">
        <v>383</v>
      </c>
      <c r="C3" s="98" t="s">
        <v>352</v>
      </c>
      <c r="D3" s="98" t="s">
        <v>406</v>
      </c>
      <c r="E3" s="98" t="s">
        <v>407</v>
      </c>
      <c r="F3" s="98" t="s">
        <v>408</v>
      </c>
      <c r="G3" s="98" t="s">
        <v>269</v>
      </c>
      <c r="H3" s="99" t="s">
        <v>408</v>
      </c>
    </row>
    <row r="4" spans="1:8" x14ac:dyDescent="0.35">
      <c r="A4" s="100">
        <v>82</v>
      </c>
      <c r="B4" s="101" t="s">
        <v>409</v>
      </c>
      <c r="C4" s="102" t="s">
        <v>352</v>
      </c>
      <c r="D4" s="102" t="s">
        <v>410</v>
      </c>
      <c r="E4" s="102" t="s">
        <v>407</v>
      </c>
      <c r="F4" s="102" t="s">
        <v>411</v>
      </c>
      <c r="G4" s="103" t="s">
        <v>269</v>
      </c>
      <c r="H4" s="104" t="s">
        <v>408</v>
      </c>
    </row>
    <row r="5" spans="1:8" x14ac:dyDescent="0.35">
      <c r="A5" s="105">
        <v>84</v>
      </c>
      <c r="B5" s="106" t="s">
        <v>383</v>
      </c>
      <c r="C5" s="103" t="s">
        <v>352</v>
      </c>
      <c r="D5" s="103" t="s">
        <v>410</v>
      </c>
      <c r="E5" s="103" t="s">
        <v>407</v>
      </c>
      <c r="F5" s="103" t="s">
        <v>412</v>
      </c>
      <c r="G5" s="103" t="s">
        <v>269</v>
      </c>
      <c r="H5" s="107" t="s">
        <v>408</v>
      </c>
    </row>
    <row r="6" spans="1:8" x14ac:dyDescent="0.35">
      <c r="A6" s="100">
        <v>95</v>
      </c>
      <c r="B6" s="101" t="s">
        <v>413</v>
      </c>
      <c r="C6" s="102" t="s">
        <v>352</v>
      </c>
      <c r="D6" s="102" t="s">
        <v>410</v>
      </c>
      <c r="E6" s="102" t="s">
        <v>414</v>
      </c>
      <c r="F6" s="102" t="s">
        <v>415</v>
      </c>
      <c r="G6" s="103" t="s">
        <v>269</v>
      </c>
      <c r="H6" s="104" t="s">
        <v>416</v>
      </c>
    </row>
    <row r="7" spans="1:8" x14ac:dyDescent="0.35">
      <c r="A7" s="105" t="s">
        <v>417</v>
      </c>
      <c r="B7" s="106" t="s">
        <v>418</v>
      </c>
      <c r="C7" s="103" t="s">
        <v>352</v>
      </c>
      <c r="D7" s="103" t="s">
        <v>410</v>
      </c>
      <c r="E7" s="103" t="s">
        <v>414</v>
      </c>
      <c r="F7" s="103" t="s">
        <v>415</v>
      </c>
      <c r="G7" s="103" t="s">
        <v>269</v>
      </c>
      <c r="H7" s="107" t="s">
        <v>416</v>
      </c>
    </row>
    <row r="8" spans="1:8" x14ac:dyDescent="0.35">
      <c r="A8" s="100" t="s">
        <v>419</v>
      </c>
      <c r="B8" s="101" t="s">
        <v>220</v>
      </c>
      <c r="C8" s="102" t="s">
        <v>352</v>
      </c>
      <c r="D8" s="102" t="s">
        <v>410</v>
      </c>
      <c r="E8" s="102" t="s">
        <v>414</v>
      </c>
      <c r="F8" s="102" t="s">
        <v>415</v>
      </c>
      <c r="G8" s="103" t="s">
        <v>269</v>
      </c>
      <c r="H8" s="104" t="s">
        <v>416</v>
      </c>
    </row>
    <row r="9" spans="1:8" ht="29" x14ac:dyDescent="0.35">
      <c r="A9" s="105" t="s">
        <v>420</v>
      </c>
      <c r="B9" s="106" t="s">
        <v>421</v>
      </c>
      <c r="C9" s="103" t="s">
        <v>352</v>
      </c>
      <c r="D9" s="103" t="s">
        <v>499</v>
      </c>
      <c r="E9" s="103" t="s">
        <v>407</v>
      </c>
      <c r="F9" s="103" t="s">
        <v>422</v>
      </c>
      <c r="G9" s="103" t="s">
        <v>268</v>
      </c>
      <c r="H9" s="107" t="s">
        <v>408</v>
      </c>
    </row>
    <row r="10" spans="1:8" ht="29" x14ac:dyDescent="0.35">
      <c r="A10" s="100" t="s">
        <v>423</v>
      </c>
      <c r="B10" s="101" t="s">
        <v>424</v>
      </c>
      <c r="C10" s="102" t="s">
        <v>352</v>
      </c>
      <c r="D10" s="102" t="s">
        <v>410</v>
      </c>
      <c r="E10" s="102" t="s">
        <v>414</v>
      </c>
      <c r="F10" s="102" t="s">
        <v>415</v>
      </c>
      <c r="G10" s="102" t="s">
        <v>269</v>
      </c>
      <c r="H10" s="104" t="s">
        <v>425</v>
      </c>
    </row>
    <row r="11" spans="1:8" x14ac:dyDescent="0.35">
      <c r="A11" s="105" t="s">
        <v>426</v>
      </c>
      <c r="B11" s="106" t="s">
        <v>427</v>
      </c>
      <c r="C11" s="103" t="s">
        <v>352</v>
      </c>
      <c r="D11" s="103" t="s">
        <v>406</v>
      </c>
      <c r="E11" s="103" t="s">
        <v>407</v>
      </c>
      <c r="F11" s="103" t="s">
        <v>422</v>
      </c>
      <c r="G11" s="103" t="s">
        <v>268</v>
      </c>
      <c r="H11" s="107" t="s">
        <v>408</v>
      </c>
    </row>
    <row r="12" spans="1:8" ht="29" x14ac:dyDescent="0.35">
      <c r="A12" s="100" t="s">
        <v>428</v>
      </c>
      <c r="B12" s="101" t="s">
        <v>429</v>
      </c>
      <c r="C12" s="102" t="s">
        <v>352</v>
      </c>
      <c r="D12" s="102" t="s">
        <v>430</v>
      </c>
      <c r="E12" s="102" t="s">
        <v>407</v>
      </c>
      <c r="F12" s="102" t="s">
        <v>422</v>
      </c>
      <c r="G12" s="102" t="s">
        <v>269</v>
      </c>
      <c r="H12" s="104" t="s">
        <v>431</v>
      </c>
    </row>
    <row r="13" spans="1:8" x14ac:dyDescent="0.35">
      <c r="A13" s="105" t="s">
        <v>368</v>
      </c>
      <c r="B13" s="106" t="s">
        <v>432</v>
      </c>
      <c r="C13" s="103" t="s">
        <v>352</v>
      </c>
      <c r="D13" s="103" t="s">
        <v>410</v>
      </c>
      <c r="E13" s="103" t="s">
        <v>414</v>
      </c>
      <c r="F13" s="103" t="s">
        <v>415</v>
      </c>
      <c r="G13" s="103" t="s">
        <v>269</v>
      </c>
      <c r="H13" s="107" t="s">
        <v>416</v>
      </c>
    </row>
    <row r="14" spans="1:8" x14ac:dyDescent="0.35">
      <c r="A14" s="100" t="s">
        <v>433</v>
      </c>
      <c r="B14" s="101" t="s">
        <v>434</v>
      </c>
      <c r="C14" s="102" t="s">
        <v>352</v>
      </c>
      <c r="D14" s="102" t="s">
        <v>410</v>
      </c>
      <c r="E14" s="102" t="s">
        <v>414</v>
      </c>
      <c r="F14" s="102" t="s">
        <v>415</v>
      </c>
      <c r="G14" s="102" t="s">
        <v>269</v>
      </c>
      <c r="H14" s="104" t="s">
        <v>416</v>
      </c>
    </row>
    <row r="15" spans="1:8" x14ac:dyDescent="0.35">
      <c r="A15" s="105" t="s">
        <v>435</v>
      </c>
      <c r="B15" s="106" t="s">
        <v>383</v>
      </c>
      <c r="C15" s="103" t="s">
        <v>352</v>
      </c>
      <c r="D15" s="103" t="s">
        <v>410</v>
      </c>
      <c r="E15" s="103" t="s">
        <v>414</v>
      </c>
      <c r="F15" s="103" t="s">
        <v>408</v>
      </c>
      <c r="G15" s="103" t="s">
        <v>269</v>
      </c>
      <c r="H15" s="107" t="s">
        <v>408</v>
      </c>
    </row>
    <row r="16" spans="1:8" x14ac:dyDescent="0.35">
      <c r="A16" s="100" t="s">
        <v>436</v>
      </c>
      <c r="B16" s="101" t="s">
        <v>437</v>
      </c>
      <c r="C16" s="102" t="s">
        <v>352</v>
      </c>
      <c r="D16" s="102" t="s">
        <v>406</v>
      </c>
      <c r="E16" s="102" t="s">
        <v>407</v>
      </c>
      <c r="F16" s="102" t="s">
        <v>422</v>
      </c>
      <c r="G16" s="102" t="s">
        <v>269</v>
      </c>
      <c r="H16" s="104" t="s">
        <v>408</v>
      </c>
    </row>
    <row r="17" spans="1:8" ht="72.5" x14ac:dyDescent="0.35">
      <c r="A17" s="105" t="s">
        <v>438</v>
      </c>
      <c r="B17" s="106" t="s">
        <v>439</v>
      </c>
      <c r="C17" s="103" t="s">
        <v>352</v>
      </c>
      <c r="D17" s="103" t="s">
        <v>410</v>
      </c>
      <c r="E17" s="103" t="s">
        <v>414</v>
      </c>
      <c r="F17" s="103" t="s">
        <v>408</v>
      </c>
      <c r="G17" s="103" t="s">
        <v>269</v>
      </c>
      <c r="H17" s="108" t="s">
        <v>440</v>
      </c>
    </row>
    <row r="18" spans="1:8" ht="29" x14ac:dyDescent="0.35">
      <c r="A18" s="100" t="s">
        <v>441</v>
      </c>
      <c r="B18" s="101" t="s">
        <v>442</v>
      </c>
      <c r="C18" s="102" t="s">
        <v>352</v>
      </c>
      <c r="D18" s="102" t="s">
        <v>410</v>
      </c>
      <c r="E18" s="102" t="s">
        <v>414</v>
      </c>
      <c r="F18" s="102" t="s">
        <v>443</v>
      </c>
      <c r="G18" s="102" t="s">
        <v>269</v>
      </c>
      <c r="H18" s="104" t="s">
        <v>408</v>
      </c>
    </row>
    <row r="19" spans="1:8" ht="29" x14ac:dyDescent="0.35">
      <c r="A19" s="105" t="s">
        <v>444</v>
      </c>
      <c r="B19" s="106" t="s">
        <v>445</v>
      </c>
      <c r="C19" s="103" t="s">
        <v>352</v>
      </c>
      <c r="D19" s="103" t="s">
        <v>410</v>
      </c>
      <c r="E19" s="103" t="s">
        <v>414</v>
      </c>
      <c r="F19" s="103" t="s">
        <v>415</v>
      </c>
      <c r="G19" s="103" t="s">
        <v>269</v>
      </c>
      <c r="H19" s="107" t="s">
        <v>408</v>
      </c>
    </row>
    <row r="20" spans="1:8" ht="29" x14ac:dyDescent="0.35">
      <c r="A20" s="100" t="s">
        <v>446</v>
      </c>
      <c r="B20" s="101" t="s">
        <v>447</v>
      </c>
      <c r="C20" s="102" t="s">
        <v>352</v>
      </c>
      <c r="D20" s="102" t="s">
        <v>448</v>
      </c>
      <c r="E20" s="102" t="s">
        <v>414</v>
      </c>
      <c r="F20" s="102" t="s">
        <v>408</v>
      </c>
      <c r="G20" s="102" t="s">
        <v>269</v>
      </c>
      <c r="H20" s="109" t="s">
        <v>500</v>
      </c>
    </row>
    <row r="21" spans="1:8" ht="29" x14ac:dyDescent="0.35">
      <c r="A21" s="105" t="s">
        <v>449</v>
      </c>
      <c r="B21" s="106" t="s">
        <v>450</v>
      </c>
      <c r="C21" s="103" t="s">
        <v>352</v>
      </c>
      <c r="D21" s="103" t="s">
        <v>410</v>
      </c>
      <c r="E21" s="103" t="s">
        <v>414</v>
      </c>
      <c r="F21" s="103" t="s">
        <v>443</v>
      </c>
      <c r="G21" s="103" t="s">
        <v>269</v>
      </c>
      <c r="H21" s="107" t="s">
        <v>408</v>
      </c>
    </row>
    <row r="22" spans="1:8" ht="29" x14ac:dyDescent="0.35">
      <c r="A22" s="100" t="s">
        <v>451</v>
      </c>
      <c r="B22" s="101" t="s">
        <v>452</v>
      </c>
      <c r="C22" s="102" t="s">
        <v>352</v>
      </c>
      <c r="D22" s="102" t="s">
        <v>410</v>
      </c>
      <c r="E22" s="102" t="s">
        <v>414</v>
      </c>
      <c r="F22" s="102" t="s">
        <v>443</v>
      </c>
      <c r="G22" s="102" t="s">
        <v>269</v>
      </c>
      <c r="H22" s="104" t="s">
        <v>453</v>
      </c>
    </row>
    <row r="23" spans="1:8" ht="29" x14ac:dyDescent="0.35">
      <c r="A23" s="105" t="s">
        <v>454</v>
      </c>
      <c r="B23" s="106" t="s">
        <v>455</v>
      </c>
      <c r="C23" s="103" t="s">
        <v>352</v>
      </c>
      <c r="D23" s="106" t="s">
        <v>456</v>
      </c>
      <c r="E23" s="103" t="s">
        <v>414</v>
      </c>
      <c r="F23" s="103" t="s">
        <v>408</v>
      </c>
      <c r="G23" s="103" t="s">
        <v>269</v>
      </c>
      <c r="H23" s="108" t="s">
        <v>457</v>
      </c>
    </row>
    <row r="24" spans="1:8" ht="29" x14ac:dyDescent="0.35">
      <c r="A24" s="100" t="s">
        <v>458</v>
      </c>
      <c r="B24" s="101" t="s">
        <v>459</v>
      </c>
      <c r="C24" s="102" t="s">
        <v>352</v>
      </c>
      <c r="D24" s="101" t="s">
        <v>501</v>
      </c>
      <c r="E24" s="102" t="s">
        <v>414</v>
      </c>
      <c r="F24" s="102" t="s">
        <v>415</v>
      </c>
      <c r="G24" s="102" t="s">
        <v>269</v>
      </c>
      <c r="H24" s="104" t="s">
        <v>460</v>
      </c>
    </row>
    <row r="25" spans="1:8" x14ac:dyDescent="0.35">
      <c r="A25" s="105" t="s">
        <v>461</v>
      </c>
      <c r="B25" s="106" t="s">
        <v>462</v>
      </c>
      <c r="C25" s="103" t="s">
        <v>352</v>
      </c>
      <c r="D25" s="103" t="s">
        <v>410</v>
      </c>
      <c r="E25" s="103" t="s">
        <v>414</v>
      </c>
      <c r="F25" s="103" t="s">
        <v>415</v>
      </c>
      <c r="G25" s="103" t="s">
        <v>269</v>
      </c>
      <c r="H25" s="107" t="s">
        <v>463</v>
      </c>
    </row>
    <row r="26" spans="1:8" ht="29" x14ac:dyDescent="0.35">
      <c r="A26" s="100" t="s">
        <v>464</v>
      </c>
      <c r="B26" s="101" t="s">
        <v>465</v>
      </c>
      <c r="C26" s="102" t="s">
        <v>352</v>
      </c>
      <c r="D26" s="102" t="s">
        <v>410</v>
      </c>
      <c r="E26" s="102" t="s">
        <v>414</v>
      </c>
      <c r="F26" s="102" t="s">
        <v>443</v>
      </c>
      <c r="G26" s="102" t="s">
        <v>269</v>
      </c>
      <c r="H26" s="104" t="s">
        <v>408</v>
      </c>
    </row>
    <row r="27" spans="1:8" ht="29" x14ac:dyDescent="0.35">
      <c r="A27" s="105" t="s">
        <v>466</v>
      </c>
      <c r="B27" s="106" t="s">
        <v>467</v>
      </c>
      <c r="C27" s="103" t="s">
        <v>352</v>
      </c>
      <c r="D27" s="103" t="s">
        <v>410</v>
      </c>
      <c r="E27" s="103" t="s">
        <v>414</v>
      </c>
      <c r="F27" s="103" t="s">
        <v>415</v>
      </c>
      <c r="G27" s="103" t="s">
        <v>269</v>
      </c>
      <c r="H27" s="107" t="s">
        <v>408</v>
      </c>
    </row>
    <row r="28" spans="1:8" x14ac:dyDescent="0.35">
      <c r="A28" s="100" t="s">
        <v>468</v>
      </c>
      <c r="B28" s="101" t="s">
        <v>469</v>
      </c>
      <c r="C28" s="102" t="s">
        <v>352</v>
      </c>
      <c r="D28" s="102" t="s">
        <v>448</v>
      </c>
      <c r="E28" s="102" t="s">
        <v>414</v>
      </c>
      <c r="F28" s="102" t="s">
        <v>408</v>
      </c>
      <c r="G28" s="102" t="s">
        <v>269</v>
      </c>
      <c r="H28" s="104" t="s">
        <v>416</v>
      </c>
    </row>
    <row r="29" spans="1:8" ht="29" x14ac:dyDescent="0.35">
      <c r="A29" s="105" t="s">
        <v>470</v>
      </c>
      <c r="B29" s="106" t="s">
        <v>471</v>
      </c>
      <c r="C29" s="103" t="s">
        <v>352</v>
      </c>
      <c r="D29" s="103" t="s">
        <v>406</v>
      </c>
      <c r="E29" s="103" t="s">
        <v>414</v>
      </c>
      <c r="F29" s="103" t="s">
        <v>408</v>
      </c>
      <c r="G29" s="103" t="s">
        <v>269</v>
      </c>
      <c r="H29" s="107" t="s">
        <v>408</v>
      </c>
    </row>
    <row r="30" spans="1:8" x14ac:dyDescent="0.35">
      <c r="A30" s="280" t="s">
        <v>472</v>
      </c>
      <c r="B30" s="282" t="s">
        <v>473</v>
      </c>
      <c r="C30" s="284" t="s">
        <v>474</v>
      </c>
      <c r="D30" s="102" t="s">
        <v>475</v>
      </c>
      <c r="E30" s="102" t="s">
        <v>414</v>
      </c>
      <c r="F30" s="284" t="s">
        <v>408</v>
      </c>
      <c r="G30" s="284" t="s">
        <v>268</v>
      </c>
      <c r="H30" s="286" t="s">
        <v>408</v>
      </c>
    </row>
    <row r="31" spans="1:8" x14ac:dyDescent="0.35">
      <c r="A31" s="281"/>
      <c r="B31" s="283"/>
      <c r="C31" s="285"/>
      <c r="D31" s="110" t="s">
        <v>476</v>
      </c>
      <c r="E31" s="110" t="s">
        <v>407</v>
      </c>
      <c r="F31" s="285"/>
      <c r="G31" s="285"/>
      <c r="H31" s="287"/>
    </row>
    <row r="32" spans="1:8" x14ac:dyDescent="0.35">
      <c r="A32" s="273" t="s">
        <v>477</v>
      </c>
      <c r="B32" s="275" t="s">
        <v>478</v>
      </c>
      <c r="C32" s="275" t="s">
        <v>479</v>
      </c>
      <c r="D32" s="111" t="s">
        <v>480</v>
      </c>
      <c r="E32" s="275" t="s">
        <v>407</v>
      </c>
      <c r="F32" s="275" t="s">
        <v>481</v>
      </c>
      <c r="G32" s="275" t="s">
        <v>408</v>
      </c>
      <c r="H32" s="112" t="s">
        <v>408</v>
      </c>
    </row>
    <row r="33" spans="1:8" ht="44" thickBot="1" x14ac:dyDescent="0.4">
      <c r="A33" s="274"/>
      <c r="B33" s="276"/>
      <c r="C33" s="276"/>
      <c r="D33" s="113" t="s">
        <v>482</v>
      </c>
      <c r="E33" s="276"/>
      <c r="F33" s="276"/>
      <c r="G33" s="276"/>
      <c r="H33" s="114" t="s">
        <v>483</v>
      </c>
    </row>
    <row r="34" spans="1:8" ht="15" thickBot="1" x14ac:dyDescent="0.4">
      <c r="A34" s="115"/>
      <c r="B34" s="116" t="s">
        <v>484</v>
      </c>
      <c r="C34" s="271" t="str">
        <f>SUBSTITUTE(TRIM(CONCATENATE(C36," ",C37," ",C38," ",C39," ",C40," ",C41," ",C42," ",C43," ",C44," ",C45," ",C46," ",C47," ",C48," ",C49," ",C50," ",C51," ",C52," ",C53," ",C54," ",C55," ",C56," ",C57," ",C58," ",C59," ",C60," ",C61," ",C62," ",C63," ",C64," ",C65," ",C66))," ",", ")</f>
        <v>5F24, 5F30, 9F53</v>
      </c>
      <c r="D34" s="271"/>
      <c r="E34" s="271"/>
      <c r="F34" s="271"/>
      <c r="G34" s="271"/>
      <c r="H34" s="272"/>
    </row>
    <row r="35" spans="1:8" ht="15" thickBot="1" x14ac:dyDescent="0.4">
      <c r="A35" s="117"/>
      <c r="B35" s="118"/>
      <c r="C35" s="119"/>
      <c r="D35" s="119"/>
      <c r="E35" s="119"/>
      <c r="F35" s="119"/>
      <c r="G35" s="119"/>
      <c r="H35" s="120"/>
    </row>
    <row r="36" spans="1:8" hidden="1" x14ac:dyDescent="0.35">
      <c r="A36" s="47"/>
      <c r="C36" s="122" t="str">
        <f t="shared" ref="C36:C66" si="0">IF(G3="No", A3,"")</f>
        <v/>
      </c>
    </row>
    <row r="37" spans="1:8" hidden="1" x14ac:dyDescent="0.35">
      <c r="C37" s="122" t="str">
        <f t="shared" si="0"/>
        <v/>
      </c>
    </row>
    <row r="38" spans="1:8" hidden="1" x14ac:dyDescent="0.35">
      <c r="C38" s="122" t="str">
        <f t="shared" si="0"/>
        <v/>
      </c>
    </row>
    <row r="39" spans="1:8" hidden="1" x14ac:dyDescent="0.35">
      <c r="C39" s="122" t="str">
        <f t="shared" si="0"/>
        <v/>
      </c>
    </row>
    <row r="40" spans="1:8" hidden="1" x14ac:dyDescent="0.35">
      <c r="C40" s="122" t="str">
        <f t="shared" si="0"/>
        <v/>
      </c>
    </row>
    <row r="41" spans="1:8" hidden="1" x14ac:dyDescent="0.35">
      <c r="C41" s="122" t="str">
        <f t="shared" si="0"/>
        <v/>
      </c>
    </row>
    <row r="42" spans="1:8" hidden="1" x14ac:dyDescent="0.35">
      <c r="C42" s="122" t="str">
        <f t="shared" si="0"/>
        <v>5F24</v>
      </c>
    </row>
    <row r="43" spans="1:8" hidden="1" x14ac:dyDescent="0.35">
      <c r="C43" s="122" t="str">
        <f t="shared" si="0"/>
        <v/>
      </c>
    </row>
    <row r="44" spans="1:8" hidden="1" x14ac:dyDescent="0.35">
      <c r="C44" s="122" t="str">
        <f t="shared" si="0"/>
        <v>5F30</v>
      </c>
    </row>
    <row r="45" spans="1:8" hidden="1" x14ac:dyDescent="0.35">
      <c r="C45" s="122" t="str">
        <f t="shared" si="0"/>
        <v/>
      </c>
    </row>
    <row r="46" spans="1:8" hidden="1" x14ac:dyDescent="0.35">
      <c r="C46" s="122" t="str">
        <f t="shared" si="0"/>
        <v/>
      </c>
    </row>
    <row r="47" spans="1:8" hidden="1" x14ac:dyDescent="0.35">
      <c r="C47" s="122" t="str">
        <f t="shared" si="0"/>
        <v/>
      </c>
    </row>
    <row r="48" spans="1:8" hidden="1" x14ac:dyDescent="0.35">
      <c r="C48" s="122" t="str">
        <f t="shared" si="0"/>
        <v/>
      </c>
    </row>
    <row r="49" spans="3:3" hidden="1" x14ac:dyDescent="0.35">
      <c r="C49" s="122" t="str">
        <f t="shared" si="0"/>
        <v/>
      </c>
    </row>
    <row r="50" spans="3:3" hidden="1" x14ac:dyDescent="0.35">
      <c r="C50" s="122" t="str">
        <f t="shared" si="0"/>
        <v/>
      </c>
    </row>
    <row r="51" spans="3:3" hidden="1" x14ac:dyDescent="0.35">
      <c r="C51" s="122" t="str">
        <f t="shared" si="0"/>
        <v/>
      </c>
    </row>
    <row r="52" spans="3:3" hidden="1" x14ac:dyDescent="0.35">
      <c r="C52" s="122" t="str">
        <f t="shared" si="0"/>
        <v/>
      </c>
    </row>
    <row r="53" spans="3:3" hidden="1" x14ac:dyDescent="0.35">
      <c r="C53" s="122" t="str">
        <f t="shared" si="0"/>
        <v/>
      </c>
    </row>
    <row r="54" spans="3:3" hidden="1" x14ac:dyDescent="0.35">
      <c r="C54" s="122" t="str">
        <f t="shared" si="0"/>
        <v/>
      </c>
    </row>
    <row r="55" spans="3:3" hidden="1" x14ac:dyDescent="0.35">
      <c r="C55" s="122" t="str">
        <f t="shared" si="0"/>
        <v/>
      </c>
    </row>
    <row r="56" spans="3:3" hidden="1" x14ac:dyDescent="0.35">
      <c r="C56" s="122" t="str">
        <f t="shared" si="0"/>
        <v/>
      </c>
    </row>
    <row r="57" spans="3:3" hidden="1" x14ac:dyDescent="0.35">
      <c r="C57" s="122" t="str">
        <f t="shared" si="0"/>
        <v/>
      </c>
    </row>
    <row r="58" spans="3:3" hidden="1" x14ac:dyDescent="0.35">
      <c r="C58" s="122" t="str">
        <f t="shared" si="0"/>
        <v/>
      </c>
    </row>
    <row r="59" spans="3:3" hidden="1" x14ac:dyDescent="0.35">
      <c r="C59" s="122" t="str">
        <f t="shared" si="0"/>
        <v/>
      </c>
    </row>
    <row r="60" spans="3:3" hidden="1" x14ac:dyDescent="0.35">
      <c r="C60" s="122" t="str">
        <f t="shared" si="0"/>
        <v/>
      </c>
    </row>
    <row r="61" spans="3:3" hidden="1" x14ac:dyDescent="0.35">
      <c r="C61" s="122" t="str">
        <f t="shared" si="0"/>
        <v/>
      </c>
    </row>
    <row r="62" spans="3:3" hidden="1" x14ac:dyDescent="0.35">
      <c r="C62" s="122" t="str">
        <f t="shared" si="0"/>
        <v/>
      </c>
    </row>
    <row r="63" spans="3:3" hidden="1" x14ac:dyDescent="0.35">
      <c r="C63" s="122" t="str">
        <f t="shared" si="0"/>
        <v>9F53</v>
      </c>
    </row>
    <row r="64" spans="3:3" hidden="1" x14ac:dyDescent="0.35">
      <c r="C64" s="122" t="str">
        <f t="shared" si="0"/>
        <v/>
      </c>
    </row>
    <row r="65" spans="3:3" hidden="1" x14ac:dyDescent="0.35">
      <c r="C65" s="122" t="str">
        <f t="shared" si="0"/>
        <v/>
      </c>
    </row>
    <row r="66" spans="3:3" hidden="1" x14ac:dyDescent="0.35">
      <c r="C66" s="122" t="str">
        <f t="shared" si="0"/>
        <v/>
      </c>
    </row>
  </sheetData>
  <mergeCells count="14">
    <mergeCell ref="A1:H1"/>
    <mergeCell ref="A30:A31"/>
    <mergeCell ref="B30:B31"/>
    <mergeCell ref="C30:C31"/>
    <mergeCell ref="F30:F31"/>
    <mergeCell ref="G30:G31"/>
    <mergeCell ref="H30:H31"/>
    <mergeCell ref="C34:H34"/>
    <mergeCell ref="A32:A33"/>
    <mergeCell ref="B32:B33"/>
    <mergeCell ref="C32:C33"/>
    <mergeCell ref="E32:E33"/>
    <mergeCell ref="F32:F33"/>
    <mergeCell ref="G32:G33"/>
  </mergeCells>
  <conditionalFormatting sqref="G2:G30 G32 G35:G1048576">
    <cfRule type="containsText" dxfId="9" priority="2" operator="containsText" text="Yes">
      <formula>NOT(ISERROR(SEARCH("Yes",G2)))</formula>
    </cfRule>
    <cfRule type="containsText" dxfId="8" priority="3" operator="containsText" text="No">
      <formula>NOT(ISERROR(SEARCH("No",G2)))</formula>
    </cfRule>
  </conditionalFormatting>
  <conditionalFormatting sqref="C34:G34">
    <cfRule type="notContainsBlanks" dxfId="7" priority="1">
      <formula>LEN(TRIM(C34))&gt;0</formula>
    </cfRule>
  </conditionalFormatting>
  <dataValidations count="1">
    <dataValidation type="list" allowBlank="1" showInputMessage="1" showErrorMessage="1" sqref="G1 G3:G1048576" xr:uid="{00000000-0002-0000-1300-000000000000}">
      <formula1>"Yes, No, NA"</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I205"/>
  <sheetViews>
    <sheetView topLeftCell="A73" workbookViewId="0">
      <selection activeCell="I86" sqref="I86"/>
    </sheetView>
  </sheetViews>
  <sheetFormatPr defaultRowHeight="14.5" x14ac:dyDescent="0.35"/>
  <cols>
    <col min="1" max="1" width="10.90625" style="5" customWidth="1"/>
    <col min="2" max="2" width="11.6328125" style="5" customWidth="1"/>
    <col min="3" max="4" width="10.90625" style="5" customWidth="1"/>
    <col min="5" max="5" width="12.81640625" style="5" bestFit="1" customWidth="1"/>
    <col min="6" max="6" width="12" style="5" bestFit="1" customWidth="1"/>
    <col min="7" max="7" width="15.453125" style="5" customWidth="1"/>
    <col min="8" max="8" width="59.6328125" style="5" customWidth="1"/>
    <col min="9" max="9" width="8.90625" style="239"/>
  </cols>
  <sheetData>
    <row r="1" spans="1:9" ht="15" thickBot="1" x14ac:dyDescent="0.4">
      <c r="A1" s="195" t="s">
        <v>682</v>
      </c>
      <c r="B1" s="196" t="s">
        <v>345</v>
      </c>
      <c r="C1" s="196" t="s">
        <v>683</v>
      </c>
      <c r="D1" s="196" t="s">
        <v>344</v>
      </c>
      <c r="E1" s="197" t="s">
        <v>361</v>
      </c>
      <c r="F1" s="197" t="s">
        <v>0</v>
      </c>
      <c r="G1" s="197" t="s">
        <v>684</v>
      </c>
      <c r="H1" s="198" t="s">
        <v>360</v>
      </c>
      <c r="I1" s="199" t="s">
        <v>347</v>
      </c>
    </row>
    <row r="2" spans="1:9" ht="43.5" x14ac:dyDescent="0.35">
      <c r="A2" s="290" t="s">
        <v>685</v>
      </c>
      <c r="B2" s="305" t="s">
        <v>686</v>
      </c>
      <c r="C2" s="200" t="s">
        <v>687</v>
      </c>
      <c r="D2" s="200" t="s">
        <v>352</v>
      </c>
      <c r="E2" s="201" t="s">
        <v>688</v>
      </c>
      <c r="F2" s="201" t="s">
        <v>688</v>
      </c>
      <c r="G2" s="201" t="s">
        <v>689</v>
      </c>
      <c r="H2" s="202" t="s">
        <v>690</v>
      </c>
      <c r="I2" s="203"/>
    </row>
    <row r="3" spans="1:9" ht="29" x14ac:dyDescent="0.35">
      <c r="A3" s="291"/>
      <c r="B3" s="302"/>
      <c r="C3" s="301" t="s">
        <v>691</v>
      </c>
      <c r="D3" s="204" t="s">
        <v>692</v>
      </c>
      <c r="E3" s="204" t="s">
        <v>688</v>
      </c>
      <c r="F3" s="204" t="s">
        <v>688</v>
      </c>
      <c r="G3" s="204" t="s">
        <v>689</v>
      </c>
      <c r="H3" s="205" t="s">
        <v>693</v>
      </c>
      <c r="I3" s="206"/>
    </row>
    <row r="4" spans="1:9" ht="43.5" x14ac:dyDescent="0.35">
      <c r="A4" s="291"/>
      <c r="B4" s="302"/>
      <c r="C4" s="302"/>
      <c r="D4" s="207" t="s">
        <v>694</v>
      </c>
      <c r="E4" s="207" t="s">
        <v>688</v>
      </c>
      <c r="F4" s="207" t="s">
        <v>688</v>
      </c>
      <c r="G4" s="207" t="s">
        <v>689</v>
      </c>
      <c r="H4" s="208" t="s">
        <v>695</v>
      </c>
      <c r="I4" s="206"/>
    </row>
    <row r="5" spans="1:9" ht="29" x14ac:dyDescent="0.35">
      <c r="A5" s="291"/>
      <c r="B5" s="302"/>
      <c r="C5" s="302"/>
      <c r="D5" s="301" t="s">
        <v>696</v>
      </c>
      <c r="E5" s="207" t="s">
        <v>688</v>
      </c>
      <c r="F5" s="207" t="s">
        <v>688</v>
      </c>
      <c r="G5" s="207" t="s">
        <v>689</v>
      </c>
      <c r="H5" s="208" t="s">
        <v>697</v>
      </c>
      <c r="I5" s="206"/>
    </row>
    <row r="6" spans="1:9" ht="72.5" x14ac:dyDescent="0.35">
      <c r="A6" s="291"/>
      <c r="B6" s="302"/>
      <c r="C6" s="302"/>
      <c r="D6" s="302"/>
      <c r="E6" s="207" t="s">
        <v>698</v>
      </c>
      <c r="F6" s="207" t="s">
        <v>688</v>
      </c>
      <c r="G6" s="207" t="s">
        <v>689</v>
      </c>
      <c r="H6" s="208" t="s">
        <v>699</v>
      </c>
      <c r="I6" s="206"/>
    </row>
    <row r="7" spans="1:9" ht="72.5" x14ac:dyDescent="0.35">
      <c r="A7" s="291"/>
      <c r="B7" s="302"/>
      <c r="C7" s="302"/>
      <c r="D7" s="302"/>
      <c r="E7" s="207" t="s">
        <v>700</v>
      </c>
      <c r="F7" s="207" t="s">
        <v>688</v>
      </c>
      <c r="G7" s="207" t="s">
        <v>689</v>
      </c>
      <c r="H7" s="208" t="s">
        <v>701</v>
      </c>
      <c r="I7" s="206"/>
    </row>
    <row r="8" spans="1:9" ht="43.5" x14ac:dyDescent="0.35">
      <c r="A8" s="291"/>
      <c r="B8" s="303"/>
      <c r="C8" s="303"/>
      <c r="D8" s="303"/>
      <c r="E8" s="207" t="s">
        <v>702</v>
      </c>
      <c r="F8" s="207" t="s">
        <v>688</v>
      </c>
      <c r="G8" s="207" t="s">
        <v>689</v>
      </c>
      <c r="H8" s="208" t="s">
        <v>703</v>
      </c>
      <c r="I8" s="206"/>
    </row>
    <row r="9" spans="1:9" ht="43.5" x14ac:dyDescent="0.35">
      <c r="A9" s="291"/>
      <c r="B9" s="301" t="s">
        <v>704</v>
      </c>
      <c r="C9" s="301" t="s">
        <v>352</v>
      </c>
      <c r="D9" s="207" t="s">
        <v>705</v>
      </c>
      <c r="E9" s="207" t="s">
        <v>688</v>
      </c>
      <c r="F9" s="207" t="s">
        <v>688</v>
      </c>
      <c r="G9" s="207" t="s">
        <v>689</v>
      </c>
      <c r="H9" s="208" t="s">
        <v>706</v>
      </c>
      <c r="I9" s="206"/>
    </row>
    <row r="10" spans="1:9" x14ac:dyDescent="0.35">
      <c r="A10" s="291"/>
      <c r="B10" s="302"/>
      <c r="C10" s="302"/>
      <c r="D10" s="207" t="s">
        <v>696</v>
      </c>
      <c r="E10" s="207" t="s">
        <v>688</v>
      </c>
      <c r="F10" s="207" t="s">
        <v>688</v>
      </c>
      <c r="G10" s="207" t="s">
        <v>689</v>
      </c>
      <c r="H10" s="208" t="s">
        <v>707</v>
      </c>
      <c r="I10" s="206"/>
    </row>
    <row r="11" spans="1:9" ht="43.5" x14ac:dyDescent="0.35">
      <c r="A11" s="291"/>
      <c r="B11" s="302"/>
      <c r="C11" s="302"/>
      <c r="D11" s="207" t="s">
        <v>708</v>
      </c>
      <c r="E11" s="207" t="s">
        <v>688</v>
      </c>
      <c r="F11" s="207" t="s">
        <v>688</v>
      </c>
      <c r="G11" s="207" t="s">
        <v>689</v>
      </c>
      <c r="H11" s="208" t="s">
        <v>709</v>
      </c>
      <c r="I11" s="206"/>
    </row>
    <row r="12" spans="1:9" x14ac:dyDescent="0.35">
      <c r="A12" s="291"/>
      <c r="B12" s="302"/>
      <c r="C12" s="302"/>
      <c r="D12" s="207" t="s">
        <v>710</v>
      </c>
      <c r="E12" s="207" t="s">
        <v>688</v>
      </c>
      <c r="F12" s="207" t="s">
        <v>688</v>
      </c>
      <c r="G12" s="207" t="s">
        <v>689</v>
      </c>
      <c r="H12" s="208" t="s">
        <v>711</v>
      </c>
      <c r="I12" s="206"/>
    </row>
    <row r="13" spans="1:9" x14ac:dyDescent="0.35">
      <c r="A13" s="291"/>
      <c r="B13" s="303"/>
      <c r="C13" s="303"/>
      <c r="D13" s="207" t="s">
        <v>93</v>
      </c>
      <c r="E13" s="207" t="s">
        <v>688</v>
      </c>
      <c r="F13" s="207" t="s">
        <v>688</v>
      </c>
      <c r="G13" s="207" t="s">
        <v>689</v>
      </c>
      <c r="H13" s="208" t="s">
        <v>712</v>
      </c>
      <c r="I13" s="206"/>
    </row>
    <row r="14" spans="1:9" ht="29" x14ac:dyDescent="0.35">
      <c r="A14" s="291"/>
      <c r="B14" s="207" t="s">
        <v>713</v>
      </c>
      <c r="C14" s="207" t="s">
        <v>352</v>
      </c>
      <c r="D14" s="209" t="s">
        <v>352</v>
      </c>
      <c r="E14" s="209" t="s">
        <v>352</v>
      </c>
      <c r="F14" s="209" t="s">
        <v>352</v>
      </c>
      <c r="G14" s="209" t="s">
        <v>714</v>
      </c>
      <c r="H14" s="210" t="s">
        <v>715</v>
      </c>
      <c r="I14" s="206"/>
    </row>
    <row r="15" spans="1:9" ht="58" x14ac:dyDescent="0.35">
      <c r="A15" s="291"/>
      <c r="B15" s="293" t="s">
        <v>716</v>
      </c>
      <c r="C15" s="299" t="s">
        <v>717</v>
      </c>
      <c r="D15" s="207" t="s">
        <v>718</v>
      </c>
      <c r="E15" s="207" t="s">
        <v>688</v>
      </c>
      <c r="F15" s="207" t="s">
        <v>688</v>
      </c>
      <c r="G15" s="207" t="s">
        <v>719</v>
      </c>
      <c r="H15" s="208" t="s">
        <v>720</v>
      </c>
      <c r="I15" s="206"/>
    </row>
    <row r="16" spans="1:9" ht="58" x14ac:dyDescent="0.35">
      <c r="A16" s="291"/>
      <c r="B16" s="295"/>
      <c r="C16" s="300"/>
      <c r="D16" s="207" t="s">
        <v>696</v>
      </c>
      <c r="E16" s="207" t="s">
        <v>688</v>
      </c>
      <c r="F16" s="207" t="s">
        <v>688</v>
      </c>
      <c r="G16" s="207" t="s">
        <v>719</v>
      </c>
      <c r="H16" s="208" t="s">
        <v>720</v>
      </c>
      <c r="I16" s="206"/>
    </row>
    <row r="17" spans="1:9" ht="58" x14ac:dyDescent="0.35">
      <c r="A17" s="291"/>
      <c r="B17" s="295"/>
      <c r="C17" s="301" t="s">
        <v>691</v>
      </c>
      <c r="D17" s="207" t="s">
        <v>721</v>
      </c>
      <c r="E17" s="207" t="s">
        <v>688</v>
      </c>
      <c r="F17" s="207" t="s">
        <v>688</v>
      </c>
      <c r="G17" s="207" t="s">
        <v>719</v>
      </c>
      <c r="H17" s="208" t="s">
        <v>720</v>
      </c>
      <c r="I17" s="206"/>
    </row>
    <row r="18" spans="1:9" ht="58" x14ac:dyDescent="0.35">
      <c r="A18" s="291"/>
      <c r="B18" s="295"/>
      <c r="C18" s="302"/>
      <c r="D18" s="207" t="s">
        <v>696</v>
      </c>
      <c r="E18" s="207" t="s">
        <v>688</v>
      </c>
      <c r="F18" s="207" t="s">
        <v>688</v>
      </c>
      <c r="G18" s="207" t="s">
        <v>719</v>
      </c>
      <c r="H18" s="208" t="s">
        <v>722</v>
      </c>
      <c r="I18" s="206"/>
    </row>
    <row r="19" spans="1:9" ht="58" x14ac:dyDescent="0.35">
      <c r="A19" s="291"/>
      <c r="B19" s="294"/>
      <c r="C19" s="303"/>
      <c r="D19" s="207" t="s">
        <v>708</v>
      </c>
      <c r="E19" s="207" t="s">
        <v>688</v>
      </c>
      <c r="F19" s="207" t="s">
        <v>688</v>
      </c>
      <c r="G19" s="207" t="s">
        <v>719</v>
      </c>
      <c r="H19" s="208" t="s">
        <v>723</v>
      </c>
      <c r="I19" s="206"/>
    </row>
    <row r="20" spans="1:9" x14ac:dyDescent="0.35">
      <c r="A20" s="291"/>
      <c r="B20" s="304" t="s">
        <v>724</v>
      </c>
      <c r="C20" s="304" t="s">
        <v>352</v>
      </c>
      <c r="D20" s="304" t="s">
        <v>352</v>
      </c>
      <c r="E20" s="304" t="s">
        <v>352</v>
      </c>
      <c r="F20" s="304" t="s">
        <v>352</v>
      </c>
      <c r="G20" s="304" t="s">
        <v>725</v>
      </c>
      <c r="H20" s="211" t="s">
        <v>726</v>
      </c>
      <c r="I20" s="206"/>
    </row>
    <row r="21" spans="1:9" x14ac:dyDescent="0.35">
      <c r="A21" s="291"/>
      <c r="B21" s="304"/>
      <c r="C21" s="304"/>
      <c r="D21" s="304"/>
      <c r="E21" s="304"/>
      <c r="F21" s="304"/>
      <c r="G21" s="304"/>
      <c r="H21" s="212" t="s">
        <v>727</v>
      </c>
      <c r="I21" s="206"/>
    </row>
    <row r="22" spans="1:9" ht="29" x14ac:dyDescent="0.35">
      <c r="A22" s="291"/>
      <c r="B22" s="106" t="s">
        <v>418</v>
      </c>
      <c r="C22" s="106" t="s">
        <v>352</v>
      </c>
      <c r="D22" s="213" t="s">
        <v>352</v>
      </c>
      <c r="E22" s="213" t="s">
        <v>352</v>
      </c>
      <c r="F22" s="106" t="s">
        <v>352</v>
      </c>
      <c r="G22" s="106" t="s">
        <v>725</v>
      </c>
      <c r="H22" s="212" t="s">
        <v>728</v>
      </c>
      <c r="I22" s="206"/>
    </row>
    <row r="23" spans="1:9" ht="29" x14ac:dyDescent="0.35">
      <c r="A23" s="291"/>
      <c r="B23" s="106" t="s">
        <v>462</v>
      </c>
      <c r="C23" s="106" t="s">
        <v>352</v>
      </c>
      <c r="D23" s="106" t="s">
        <v>352</v>
      </c>
      <c r="E23" s="106" t="s">
        <v>352</v>
      </c>
      <c r="F23" s="106" t="s">
        <v>352</v>
      </c>
      <c r="G23" s="106" t="s">
        <v>725</v>
      </c>
      <c r="H23" s="212" t="s">
        <v>729</v>
      </c>
      <c r="I23" s="206"/>
    </row>
    <row r="24" spans="1:9" ht="43.5" x14ac:dyDescent="0.35">
      <c r="A24" s="291"/>
      <c r="B24" s="106" t="s">
        <v>730</v>
      </c>
      <c r="C24" s="106" t="s">
        <v>352</v>
      </c>
      <c r="D24" s="106" t="s">
        <v>352</v>
      </c>
      <c r="E24" s="106" t="s">
        <v>352</v>
      </c>
      <c r="F24" s="106" t="s">
        <v>352</v>
      </c>
      <c r="G24" s="106" t="s">
        <v>725</v>
      </c>
      <c r="H24" s="212" t="s">
        <v>731</v>
      </c>
      <c r="I24" s="206"/>
    </row>
    <row r="25" spans="1:9" ht="43.5" x14ac:dyDescent="0.35">
      <c r="A25" s="291"/>
      <c r="B25" s="304" t="s">
        <v>732</v>
      </c>
      <c r="C25" s="304" t="s">
        <v>352</v>
      </c>
      <c r="D25" s="304" t="s">
        <v>352</v>
      </c>
      <c r="E25" s="304" t="s">
        <v>352</v>
      </c>
      <c r="F25" s="304" t="s">
        <v>352</v>
      </c>
      <c r="G25" s="304" t="s">
        <v>725</v>
      </c>
      <c r="H25" s="212" t="s">
        <v>733</v>
      </c>
      <c r="I25" s="206"/>
    </row>
    <row r="26" spans="1:9" x14ac:dyDescent="0.35">
      <c r="A26" s="291"/>
      <c r="B26" s="304"/>
      <c r="C26" s="304"/>
      <c r="D26" s="304"/>
      <c r="E26" s="304"/>
      <c r="F26" s="304"/>
      <c r="G26" s="304"/>
      <c r="H26" s="212" t="s">
        <v>734</v>
      </c>
      <c r="I26" s="206"/>
    </row>
    <row r="27" spans="1:9" x14ac:dyDescent="0.35">
      <c r="A27" s="291"/>
      <c r="B27" s="304" t="s">
        <v>735</v>
      </c>
      <c r="C27" s="304" t="s">
        <v>352</v>
      </c>
      <c r="D27" s="304" t="s">
        <v>688</v>
      </c>
      <c r="E27" s="304" t="s">
        <v>688</v>
      </c>
      <c r="F27" s="304" t="s">
        <v>352</v>
      </c>
      <c r="G27" s="304" t="s">
        <v>725</v>
      </c>
      <c r="H27" s="212" t="s">
        <v>736</v>
      </c>
      <c r="I27" s="206"/>
    </row>
    <row r="28" spans="1:9" ht="29" x14ac:dyDescent="0.35">
      <c r="A28" s="291"/>
      <c r="B28" s="304"/>
      <c r="C28" s="304"/>
      <c r="D28" s="304"/>
      <c r="E28" s="304"/>
      <c r="F28" s="304"/>
      <c r="G28" s="304"/>
      <c r="H28" s="212" t="s">
        <v>737</v>
      </c>
      <c r="I28" s="206"/>
    </row>
    <row r="29" spans="1:9" ht="29" x14ac:dyDescent="0.35">
      <c r="A29" s="291"/>
      <c r="B29" s="106" t="s">
        <v>738</v>
      </c>
      <c r="C29" s="106" t="s">
        <v>352</v>
      </c>
      <c r="D29" s="106" t="s">
        <v>352</v>
      </c>
      <c r="E29" s="106" t="s">
        <v>739</v>
      </c>
      <c r="F29" s="106" t="s">
        <v>352</v>
      </c>
      <c r="G29" s="106" t="s">
        <v>725</v>
      </c>
      <c r="H29" s="212" t="s">
        <v>740</v>
      </c>
      <c r="I29" s="206"/>
    </row>
    <row r="30" spans="1:9" ht="29" x14ac:dyDescent="0.35">
      <c r="A30" s="291"/>
      <c r="B30" s="214" t="s">
        <v>741</v>
      </c>
      <c r="C30" s="213" t="s">
        <v>352</v>
      </c>
      <c r="D30" s="106" t="s">
        <v>352</v>
      </c>
      <c r="E30" s="214" t="s">
        <v>742</v>
      </c>
      <c r="F30" s="214" t="s">
        <v>743</v>
      </c>
      <c r="G30" s="214" t="s">
        <v>744</v>
      </c>
      <c r="H30" s="215" t="s">
        <v>745</v>
      </c>
      <c r="I30" s="206"/>
    </row>
    <row r="31" spans="1:9" ht="29" x14ac:dyDescent="0.35">
      <c r="A31" s="291"/>
      <c r="B31" s="293" t="s">
        <v>746</v>
      </c>
      <c r="C31" s="293" t="s">
        <v>352</v>
      </c>
      <c r="D31" s="293" t="s">
        <v>352</v>
      </c>
      <c r="E31" s="214" t="s">
        <v>747</v>
      </c>
      <c r="F31" s="214" t="s">
        <v>688</v>
      </c>
      <c r="G31" s="214" t="s">
        <v>748</v>
      </c>
      <c r="H31" s="215" t="s">
        <v>749</v>
      </c>
      <c r="I31" s="206"/>
    </row>
    <row r="32" spans="1:9" ht="43.5" x14ac:dyDescent="0.35">
      <c r="A32" s="291"/>
      <c r="B32" s="294"/>
      <c r="C32" s="294"/>
      <c r="D32" s="294"/>
      <c r="E32" s="213" t="s">
        <v>750</v>
      </c>
      <c r="F32" s="213" t="s">
        <v>688</v>
      </c>
      <c r="G32" s="214" t="s">
        <v>748</v>
      </c>
      <c r="H32" s="215" t="s">
        <v>751</v>
      </c>
      <c r="I32" s="206"/>
    </row>
    <row r="33" spans="1:9" ht="29" x14ac:dyDescent="0.35">
      <c r="A33" s="291"/>
      <c r="B33" s="214" t="s">
        <v>752</v>
      </c>
      <c r="C33" s="213" t="s">
        <v>352</v>
      </c>
      <c r="D33" s="214" t="s">
        <v>352</v>
      </c>
      <c r="E33" s="214" t="s">
        <v>753</v>
      </c>
      <c r="F33" s="214" t="s">
        <v>754</v>
      </c>
      <c r="G33" s="214" t="s">
        <v>689</v>
      </c>
      <c r="H33" s="215" t="s">
        <v>755</v>
      </c>
      <c r="I33" s="206"/>
    </row>
    <row r="34" spans="1:9" ht="29" x14ac:dyDescent="0.35">
      <c r="A34" s="291"/>
      <c r="B34" s="214" t="s">
        <v>756</v>
      </c>
      <c r="C34" s="214" t="s">
        <v>352</v>
      </c>
      <c r="D34" s="214" t="s">
        <v>352</v>
      </c>
      <c r="E34" s="214" t="s">
        <v>756</v>
      </c>
      <c r="F34" s="214" t="s">
        <v>757</v>
      </c>
      <c r="G34" s="214" t="s">
        <v>689</v>
      </c>
      <c r="H34" s="215" t="s">
        <v>758</v>
      </c>
      <c r="I34" s="206"/>
    </row>
    <row r="35" spans="1:9" ht="29" x14ac:dyDescent="0.35">
      <c r="A35" s="291"/>
      <c r="B35" s="214" t="s">
        <v>759</v>
      </c>
      <c r="C35" s="216" t="s">
        <v>352</v>
      </c>
      <c r="D35" s="214" t="s">
        <v>352</v>
      </c>
      <c r="E35" s="214" t="s">
        <v>760</v>
      </c>
      <c r="F35" s="214" t="s">
        <v>688</v>
      </c>
      <c r="G35" s="214" t="s">
        <v>761</v>
      </c>
      <c r="H35" s="215" t="s">
        <v>762</v>
      </c>
      <c r="I35" s="206"/>
    </row>
    <row r="36" spans="1:9" x14ac:dyDescent="0.35">
      <c r="A36" s="291"/>
      <c r="B36" s="296" t="s">
        <v>763</v>
      </c>
      <c r="C36" s="293" t="s">
        <v>352</v>
      </c>
      <c r="D36" s="296" t="s">
        <v>352</v>
      </c>
      <c r="E36" s="296" t="s">
        <v>764</v>
      </c>
      <c r="F36" s="296" t="s">
        <v>688</v>
      </c>
      <c r="G36" s="296" t="s">
        <v>719</v>
      </c>
      <c r="H36" s="215" t="s">
        <v>765</v>
      </c>
      <c r="I36" s="206"/>
    </row>
    <row r="37" spans="1:9" ht="29" x14ac:dyDescent="0.35">
      <c r="A37" s="291"/>
      <c r="B37" s="297"/>
      <c r="C37" s="295"/>
      <c r="D37" s="297"/>
      <c r="E37" s="297"/>
      <c r="F37" s="297"/>
      <c r="G37" s="297"/>
      <c r="H37" s="215" t="s">
        <v>766</v>
      </c>
      <c r="I37" s="206"/>
    </row>
    <row r="38" spans="1:9" x14ac:dyDescent="0.35">
      <c r="A38" s="291"/>
      <c r="B38" s="297"/>
      <c r="C38" s="295"/>
      <c r="D38" s="297"/>
      <c r="E38" s="298"/>
      <c r="F38" s="298"/>
      <c r="G38" s="298"/>
      <c r="H38" s="215" t="s">
        <v>767</v>
      </c>
      <c r="I38" s="206"/>
    </row>
    <row r="39" spans="1:9" ht="14.4" customHeight="1" x14ac:dyDescent="0.35">
      <c r="A39" s="291"/>
      <c r="B39" s="298"/>
      <c r="C39" s="294"/>
      <c r="D39" s="298"/>
      <c r="E39" s="214" t="s">
        <v>768</v>
      </c>
      <c r="F39" s="214" t="s">
        <v>688</v>
      </c>
      <c r="G39" s="214" t="s">
        <v>719</v>
      </c>
      <c r="H39" s="215" t="s">
        <v>769</v>
      </c>
      <c r="I39" s="206"/>
    </row>
    <row r="40" spans="1:9" ht="43.5" x14ac:dyDescent="0.35">
      <c r="A40" s="291"/>
      <c r="B40" s="209" t="s">
        <v>770</v>
      </c>
      <c r="C40" s="209" t="s">
        <v>352</v>
      </c>
      <c r="D40" s="209" t="s">
        <v>352</v>
      </c>
      <c r="E40" s="209" t="s">
        <v>753</v>
      </c>
      <c r="F40" s="209" t="s">
        <v>352</v>
      </c>
      <c r="G40" s="209" t="s">
        <v>719</v>
      </c>
      <c r="H40" s="210" t="s">
        <v>771</v>
      </c>
      <c r="I40" s="206"/>
    </row>
    <row r="41" spans="1:9" ht="87" x14ac:dyDescent="0.35">
      <c r="A41" s="291"/>
      <c r="B41" s="217" t="s">
        <v>772</v>
      </c>
      <c r="C41" s="217" t="s">
        <v>352</v>
      </c>
      <c r="D41" s="217" t="s">
        <v>352</v>
      </c>
      <c r="E41" s="217" t="s">
        <v>352</v>
      </c>
      <c r="F41" s="217" t="s">
        <v>352</v>
      </c>
      <c r="G41" s="217" t="s">
        <v>719</v>
      </c>
      <c r="H41" s="218" t="s">
        <v>773</v>
      </c>
      <c r="I41" s="206"/>
    </row>
    <row r="42" spans="1:9" ht="43.5" x14ac:dyDescent="0.35">
      <c r="A42" s="292"/>
      <c r="B42" s="217" t="s">
        <v>774</v>
      </c>
      <c r="C42" s="217" t="s">
        <v>691</v>
      </c>
      <c r="D42" s="217" t="s">
        <v>352</v>
      </c>
      <c r="E42" s="217" t="s">
        <v>775</v>
      </c>
      <c r="F42" s="217" t="s">
        <v>352</v>
      </c>
      <c r="G42" s="217" t="s">
        <v>776</v>
      </c>
      <c r="H42" s="218" t="s">
        <v>777</v>
      </c>
      <c r="I42" s="206"/>
    </row>
    <row r="43" spans="1:9" x14ac:dyDescent="0.35">
      <c r="A43" s="288"/>
      <c r="B43" s="289"/>
      <c r="C43" s="289"/>
      <c r="D43" s="289"/>
      <c r="E43" s="289"/>
      <c r="F43" s="289"/>
      <c r="G43" s="289"/>
      <c r="H43" s="289"/>
      <c r="I43" s="206"/>
    </row>
    <row r="44" spans="1:9" ht="29" x14ac:dyDescent="0.35">
      <c r="A44" s="306" t="s">
        <v>778</v>
      </c>
      <c r="B44" s="106" t="s">
        <v>779</v>
      </c>
      <c r="C44" s="106" t="s">
        <v>352</v>
      </c>
      <c r="D44" s="106" t="s">
        <v>780</v>
      </c>
      <c r="E44" s="106" t="s">
        <v>739</v>
      </c>
      <c r="F44" s="106" t="s">
        <v>352</v>
      </c>
      <c r="G44" s="106" t="s">
        <v>719</v>
      </c>
      <c r="H44" s="212" t="s">
        <v>781</v>
      </c>
      <c r="I44" s="206"/>
    </row>
    <row r="45" spans="1:9" ht="29" x14ac:dyDescent="0.35">
      <c r="A45" s="307"/>
      <c r="B45" s="106" t="s">
        <v>782</v>
      </c>
      <c r="C45" s="106" t="s">
        <v>352</v>
      </c>
      <c r="D45" s="106" t="s">
        <v>780</v>
      </c>
      <c r="E45" s="106" t="s">
        <v>783</v>
      </c>
      <c r="F45" s="106" t="s">
        <v>352</v>
      </c>
      <c r="G45" s="106" t="s">
        <v>719</v>
      </c>
      <c r="H45" s="212" t="s">
        <v>784</v>
      </c>
      <c r="I45" s="206"/>
    </row>
    <row r="46" spans="1:9" ht="29" x14ac:dyDescent="0.35">
      <c r="A46" s="307"/>
      <c r="B46" s="106" t="s">
        <v>785</v>
      </c>
      <c r="C46" s="106" t="s">
        <v>352</v>
      </c>
      <c r="D46" s="106" t="s">
        <v>780</v>
      </c>
      <c r="E46" s="106" t="s">
        <v>352</v>
      </c>
      <c r="F46" s="106" t="s">
        <v>352</v>
      </c>
      <c r="G46" s="106" t="s">
        <v>725</v>
      </c>
      <c r="H46" s="212" t="s">
        <v>786</v>
      </c>
      <c r="I46" s="206"/>
    </row>
    <row r="47" spans="1:9" x14ac:dyDescent="0.35">
      <c r="A47" s="307"/>
      <c r="B47" s="293" t="s">
        <v>787</v>
      </c>
      <c r="C47" s="293" t="s">
        <v>352</v>
      </c>
      <c r="D47" s="293" t="s">
        <v>780</v>
      </c>
      <c r="E47" s="293" t="s">
        <v>352</v>
      </c>
      <c r="F47" s="293" t="s">
        <v>352</v>
      </c>
      <c r="G47" s="293" t="s">
        <v>725</v>
      </c>
      <c r="H47" s="212" t="s">
        <v>788</v>
      </c>
      <c r="I47" s="206"/>
    </row>
    <row r="48" spans="1:9" x14ac:dyDescent="0.35">
      <c r="A48" s="307"/>
      <c r="B48" s="295"/>
      <c r="C48" s="295"/>
      <c r="D48" s="295"/>
      <c r="E48" s="295"/>
      <c r="F48" s="295"/>
      <c r="G48" s="295"/>
      <c r="H48" s="212" t="s">
        <v>789</v>
      </c>
      <c r="I48" s="206"/>
    </row>
    <row r="49" spans="1:9" x14ac:dyDescent="0.35">
      <c r="A49" s="307"/>
      <c r="B49" s="295"/>
      <c r="C49" s="295"/>
      <c r="D49" s="295"/>
      <c r="E49" s="295"/>
      <c r="F49" s="295"/>
      <c r="G49" s="295"/>
      <c r="H49" s="212" t="s">
        <v>790</v>
      </c>
      <c r="I49" s="206"/>
    </row>
    <row r="50" spans="1:9" x14ac:dyDescent="0.35">
      <c r="A50" s="307"/>
      <c r="B50" s="295"/>
      <c r="C50" s="295"/>
      <c r="D50" s="295"/>
      <c r="E50" s="295"/>
      <c r="F50" s="295"/>
      <c r="G50" s="295"/>
      <c r="H50" s="212" t="s">
        <v>791</v>
      </c>
      <c r="I50" s="206"/>
    </row>
    <row r="51" spans="1:9" x14ac:dyDescent="0.35">
      <c r="A51" s="307"/>
      <c r="B51" s="295"/>
      <c r="C51" s="295"/>
      <c r="D51" s="295"/>
      <c r="E51" s="295"/>
      <c r="F51" s="295"/>
      <c r="G51" s="295"/>
      <c r="H51" s="212" t="s">
        <v>792</v>
      </c>
      <c r="I51" s="206"/>
    </row>
    <row r="52" spans="1:9" x14ac:dyDescent="0.35">
      <c r="A52" s="307"/>
      <c r="B52" s="294"/>
      <c r="C52" s="294"/>
      <c r="D52" s="294"/>
      <c r="E52" s="294"/>
      <c r="F52" s="294"/>
      <c r="G52" s="294"/>
      <c r="H52" s="212" t="s">
        <v>793</v>
      </c>
      <c r="I52" s="206"/>
    </row>
    <row r="53" spans="1:9" ht="29" x14ac:dyDescent="0.35">
      <c r="A53" s="307"/>
      <c r="B53" s="106" t="s">
        <v>794</v>
      </c>
      <c r="C53" s="106" t="s">
        <v>717</v>
      </c>
      <c r="D53" s="106" t="s">
        <v>780</v>
      </c>
      <c r="E53" s="106" t="s">
        <v>352</v>
      </c>
      <c r="F53" s="106" t="s">
        <v>6</v>
      </c>
      <c r="G53" s="106" t="s">
        <v>795</v>
      </c>
      <c r="H53" s="212" t="s">
        <v>796</v>
      </c>
      <c r="I53" s="206"/>
    </row>
    <row r="54" spans="1:9" ht="29" x14ac:dyDescent="0.35">
      <c r="A54" s="307"/>
      <c r="B54" s="301" t="s">
        <v>797</v>
      </c>
      <c r="C54" s="301" t="s">
        <v>717</v>
      </c>
      <c r="D54" s="301" t="s">
        <v>780</v>
      </c>
      <c r="E54" s="301" t="s">
        <v>798</v>
      </c>
      <c r="F54" s="219" t="s">
        <v>7</v>
      </c>
      <c r="G54" s="219" t="s">
        <v>761</v>
      </c>
      <c r="H54" s="212" t="s">
        <v>799</v>
      </c>
      <c r="I54" s="206"/>
    </row>
    <row r="55" spans="1:9" ht="29" x14ac:dyDescent="0.35">
      <c r="A55" s="307"/>
      <c r="B55" s="302"/>
      <c r="C55" s="302"/>
      <c r="D55" s="302"/>
      <c r="E55" s="302"/>
      <c r="F55" s="219" t="s">
        <v>10</v>
      </c>
      <c r="G55" s="219" t="s">
        <v>761</v>
      </c>
      <c r="H55" s="212" t="s">
        <v>799</v>
      </c>
      <c r="I55" s="206"/>
    </row>
    <row r="56" spans="1:9" ht="29" x14ac:dyDescent="0.35">
      <c r="A56" s="307"/>
      <c r="B56" s="302"/>
      <c r="C56" s="302"/>
      <c r="D56" s="302"/>
      <c r="E56" s="302"/>
      <c r="F56" s="106" t="s">
        <v>11</v>
      </c>
      <c r="G56" s="219" t="s">
        <v>761</v>
      </c>
      <c r="H56" s="212" t="s">
        <v>799</v>
      </c>
      <c r="I56" s="206"/>
    </row>
    <row r="57" spans="1:9" ht="29" x14ac:dyDescent="0.35">
      <c r="A57" s="307"/>
      <c r="B57" s="302"/>
      <c r="C57" s="302"/>
      <c r="D57" s="302"/>
      <c r="E57" s="302"/>
      <c r="F57" s="106" t="s">
        <v>12</v>
      </c>
      <c r="G57" s="219" t="s">
        <v>761</v>
      </c>
      <c r="H57" s="212" t="s">
        <v>799</v>
      </c>
      <c r="I57" s="206"/>
    </row>
    <row r="58" spans="1:9" ht="29" x14ac:dyDescent="0.35">
      <c r="A58" s="307"/>
      <c r="B58" s="303"/>
      <c r="C58" s="303"/>
      <c r="D58" s="303"/>
      <c r="E58" s="303"/>
      <c r="F58" s="106" t="s">
        <v>13</v>
      </c>
      <c r="G58" s="219" t="s">
        <v>761</v>
      </c>
      <c r="H58" s="212" t="s">
        <v>799</v>
      </c>
      <c r="I58" s="206"/>
    </row>
    <row r="59" spans="1:9" ht="29" x14ac:dyDescent="0.35">
      <c r="A59" s="307"/>
      <c r="B59" s="106" t="s">
        <v>800</v>
      </c>
      <c r="C59" s="106" t="s">
        <v>717</v>
      </c>
      <c r="D59" s="106" t="s">
        <v>780</v>
      </c>
      <c r="E59" s="106" t="s">
        <v>352</v>
      </c>
      <c r="F59" s="106" t="s">
        <v>9</v>
      </c>
      <c r="G59" s="106" t="s">
        <v>725</v>
      </c>
      <c r="H59" s="212" t="s">
        <v>801</v>
      </c>
      <c r="I59" s="206"/>
    </row>
    <row r="60" spans="1:9" x14ac:dyDescent="0.35">
      <c r="A60" s="307"/>
      <c r="B60" s="219" t="s">
        <v>802</v>
      </c>
      <c r="C60" s="106" t="s">
        <v>717</v>
      </c>
      <c r="D60" s="219" t="s">
        <v>780</v>
      </c>
      <c r="E60" s="219" t="s">
        <v>352</v>
      </c>
      <c r="F60" s="219" t="s">
        <v>14</v>
      </c>
      <c r="G60" s="214" t="s">
        <v>719</v>
      </c>
      <c r="H60" s="212" t="s">
        <v>803</v>
      </c>
      <c r="I60" s="206"/>
    </row>
    <row r="61" spans="1:9" ht="58" x14ac:dyDescent="0.35">
      <c r="A61" s="307"/>
      <c r="B61" s="301" t="s">
        <v>804</v>
      </c>
      <c r="C61" s="301" t="s">
        <v>691</v>
      </c>
      <c r="D61" s="309" t="s">
        <v>780</v>
      </c>
      <c r="E61" s="301" t="s">
        <v>352</v>
      </c>
      <c r="F61" s="301" t="s">
        <v>352</v>
      </c>
      <c r="G61" s="301" t="s">
        <v>805</v>
      </c>
      <c r="H61" s="212" t="s">
        <v>806</v>
      </c>
      <c r="I61" s="206"/>
    </row>
    <row r="62" spans="1:9" x14ac:dyDescent="0.35">
      <c r="A62" s="307"/>
      <c r="B62" s="302"/>
      <c r="C62" s="302"/>
      <c r="D62" s="310"/>
      <c r="E62" s="302"/>
      <c r="F62" s="302"/>
      <c r="G62" s="302"/>
      <c r="H62" s="212" t="s">
        <v>807</v>
      </c>
      <c r="I62" s="206"/>
    </row>
    <row r="63" spans="1:9" ht="58" x14ac:dyDescent="0.35">
      <c r="A63" s="307"/>
      <c r="B63" s="302"/>
      <c r="C63" s="302"/>
      <c r="D63" s="310"/>
      <c r="E63" s="302"/>
      <c r="F63" s="302"/>
      <c r="G63" s="302"/>
      <c r="H63" s="212" t="s">
        <v>808</v>
      </c>
      <c r="I63" s="206"/>
    </row>
    <row r="64" spans="1:9" ht="29" x14ac:dyDescent="0.35">
      <c r="A64" s="307"/>
      <c r="B64" s="302"/>
      <c r="C64" s="302"/>
      <c r="D64" s="310"/>
      <c r="E64" s="302"/>
      <c r="F64" s="302"/>
      <c r="G64" s="302"/>
      <c r="H64" s="212" t="s">
        <v>809</v>
      </c>
      <c r="I64" s="206"/>
    </row>
    <row r="65" spans="1:9" x14ac:dyDescent="0.35">
      <c r="A65" s="307"/>
      <c r="B65" s="303"/>
      <c r="C65" s="303"/>
      <c r="D65" s="311"/>
      <c r="E65" s="303"/>
      <c r="F65" s="303"/>
      <c r="G65" s="303"/>
      <c r="H65" s="212" t="s">
        <v>810</v>
      </c>
      <c r="I65" s="206"/>
    </row>
    <row r="66" spans="1:9" ht="29" x14ac:dyDescent="0.35">
      <c r="A66" s="307"/>
      <c r="B66" s="106" t="s">
        <v>811</v>
      </c>
      <c r="C66" s="106" t="s">
        <v>691</v>
      </c>
      <c r="D66" s="106" t="s">
        <v>780</v>
      </c>
      <c r="E66" s="106" t="s">
        <v>812</v>
      </c>
      <c r="F66" s="106" t="s">
        <v>352</v>
      </c>
      <c r="G66" s="106" t="s">
        <v>813</v>
      </c>
      <c r="H66" s="212" t="s">
        <v>814</v>
      </c>
      <c r="I66" s="206"/>
    </row>
    <row r="67" spans="1:9" x14ac:dyDescent="0.35">
      <c r="A67" s="307"/>
      <c r="B67" s="293" t="s">
        <v>815</v>
      </c>
      <c r="C67" s="293" t="s">
        <v>691</v>
      </c>
      <c r="D67" s="293" t="s">
        <v>780</v>
      </c>
      <c r="E67" s="293" t="s">
        <v>816</v>
      </c>
      <c r="F67" s="293" t="s">
        <v>408</v>
      </c>
      <c r="G67" s="293" t="s">
        <v>817</v>
      </c>
      <c r="H67" s="212" t="s">
        <v>818</v>
      </c>
      <c r="I67" s="206"/>
    </row>
    <row r="68" spans="1:9" ht="29" x14ac:dyDescent="0.35">
      <c r="A68" s="307"/>
      <c r="B68" s="295"/>
      <c r="C68" s="295"/>
      <c r="D68" s="295"/>
      <c r="E68" s="295"/>
      <c r="F68" s="295"/>
      <c r="G68" s="295"/>
      <c r="H68" s="212" t="s">
        <v>819</v>
      </c>
      <c r="I68" s="206"/>
    </row>
    <row r="69" spans="1:9" ht="29" x14ac:dyDescent="0.35">
      <c r="A69" s="307"/>
      <c r="B69" s="294"/>
      <c r="C69" s="294"/>
      <c r="D69" s="294"/>
      <c r="E69" s="294"/>
      <c r="F69" s="294"/>
      <c r="G69" s="294"/>
      <c r="H69" s="212" t="s">
        <v>820</v>
      </c>
      <c r="I69" s="206"/>
    </row>
    <row r="70" spans="1:9" x14ac:dyDescent="0.35">
      <c r="A70" s="307"/>
      <c r="B70" s="293" t="s">
        <v>821</v>
      </c>
      <c r="C70" s="293" t="s">
        <v>691</v>
      </c>
      <c r="D70" s="293" t="s">
        <v>780</v>
      </c>
      <c r="E70" s="293" t="s">
        <v>352</v>
      </c>
      <c r="F70" s="220" t="s">
        <v>189</v>
      </c>
      <c r="G70" s="220" t="s">
        <v>725</v>
      </c>
      <c r="H70" s="221" t="s">
        <v>822</v>
      </c>
      <c r="I70" s="206"/>
    </row>
    <row r="71" spans="1:9" x14ac:dyDescent="0.35">
      <c r="A71" s="307"/>
      <c r="B71" s="294"/>
      <c r="C71" s="294"/>
      <c r="D71" s="294"/>
      <c r="E71" s="294"/>
      <c r="F71" s="220" t="s">
        <v>193</v>
      </c>
      <c r="G71" s="220" t="s">
        <v>725</v>
      </c>
      <c r="H71" s="221" t="s">
        <v>822</v>
      </c>
      <c r="I71" s="206"/>
    </row>
    <row r="72" spans="1:9" ht="29" x14ac:dyDescent="0.35">
      <c r="A72" s="307"/>
      <c r="B72" s="106" t="s">
        <v>823</v>
      </c>
      <c r="C72" s="106" t="s">
        <v>691</v>
      </c>
      <c r="D72" s="220" t="s">
        <v>780</v>
      </c>
      <c r="E72" s="220" t="s">
        <v>824</v>
      </c>
      <c r="F72" s="220" t="s">
        <v>352</v>
      </c>
      <c r="G72" s="220" t="s">
        <v>805</v>
      </c>
      <c r="H72" s="221" t="s">
        <v>825</v>
      </c>
      <c r="I72" s="206"/>
    </row>
    <row r="73" spans="1:9" ht="14.4" customHeight="1" x14ac:dyDescent="0.35">
      <c r="A73" s="307"/>
      <c r="B73" s="312"/>
      <c r="C73" s="312"/>
      <c r="D73" s="312"/>
      <c r="E73" s="312"/>
      <c r="F73" s="312"/>
      <c r="G73" s="312"/>
      <c r="H73" s="312"/>
      <c r="I73" s="206"/>
    </row>
    <row r="74" spans="1:9" ht="29" x14ac:dyDescent="0.35">
      <c r="A74" s="307"/>
      <c r="B74" s="106" t="s">
        <v>779</v>
      </c>
      <c r="C74" s="106" t="s">
        <v>352</v>
      </c>
      <c r="D74" s="106" t="s">
        <v>708</v>
      </c>
      <c r="E74" s="106" t="s">
        <v>739</v>
      </c>
      <c r="F74" s="106" t="s">
        <v>352</v>
      </c>
      <c r="G74" s="106" t="s">
        <v>719</v>
      </c>
      <c r="H74" s="212" t="s">
        <v>781</v>
      </c>
      <c r="I74" s="206" t="s">
        <v>1</v>
      </c>
    </row>
    <row r="75" spans="1:9" ht="43.5" x14ac:dyDescent="0.35">
      <c r="A75" s="307"/>
      <c r="B75" s="293" t="s">
        <v>826</v>
      </c>
      <c r="C75" s="293" t="s">
        <v>352</v>
      </c>
      <c r="D75" s="293" t="s">
        <v>708</v>
      </c>
      <c r="E75" s="293" t="s">
        <v>352</v>
      </c>
      <c r="F75" s="293" t="s">
        <v>352</v>
      </c>
      <c r="G75" s="293" t="s">
        <v>719</v>
      </c>
      <c r="H75" s="212" t="s">
        <v>827</v>
      </c>
      <c r="I75" s="206" t="s">
        <v>1</v>
      </c>
    </row>
    <row r="76" spans="1:9" x14ac:dyDescent="0.35">
      <c r="A76" s="307"/>
      <c r="B76" s="295"/>
      <c r="C76" s="295"/>
      <c r="D76" s="295"/>
      <c r="E76" s="295"/>
      <c r="F76" s="295"/>
      <c r="G76" s="295"/>
      <c r="H76" s="212" t="s">
        <v>828</v>
      </c>
      <c r="I76" s="206" t="s">
        <v>1</v>
      </c>
    </row>
    <row r="77" spans="1:9" x14ac:dyDescent="0.35">
      <c r="A77" s="307"/>
      <c r="B77" s="295"/>
      <c r="C77" s="295"/>
      <c r="D77" s="295"/>
      <c r="E77" s="294"/>
      <c r="F77" s="294"/>
      <c r="G77" s="294"/>
      <c r="H77" s="212" t="s">
        <v>829</v>
      </c>
      <c r="I77" s="206" t="s">
        <v>1</v>
      </c>
    </row>
    <row r="78" spans="1:9" x14ac:dyDescent="0.35">
      <c r="A78" s="307"/>
      <c r="B78" s="294"/>
      <c r="C78" s="294"/>
      <c r="D78" s="294"/>
      <c r="E78" s="106" t="s">
        <v>739</v>
      </c>
      <c r="F78" s="106" t="s">
        <v>352</v>
      </c>
      <c r="G78" s="106" t="s">
        <v>719</v>
      </c>
      <c r="H78" s="212" t="s">
        <v>830</v>
      </c>
      <c r="I78" s="206" t="s">
        <v>1</v>
      </c>
    </row>
    <row r="79" spans="1:9" ht="29" x14ac:dyDescent="0.35">
      <c r="A79" s="307"/>
      <c r="B79" s="293" t="s">
        <v>779</v>
      </c>
      <c r="C79" s="293" t="s">
        <v>717</v>
      </c>
      <c r="D79" s="293" t="s">
        <v>708</v>
      </c>
      <c r="E79" s="293" t="s">
        <v>831</v>
      </c>
      <c r="F79" s="293" t="s">
        <v>56</v>
      </c>
      <c r="G79" s="293" t="s">
        <v>832</v>
      </c>
      <c r="H79" s="212" t="s">
        <v>833</v>
      </c>
      <c r="I79" s="206"/>
    </row>
    <row r="80" spans="1:9" x14ac:dyDescent="0.35">
      <c r="A80" s="307"/>
      <c r="B80" s="295"/>
      <c r="C80" s="295"/>
      <c r="D80" s="295"/>
      <c r="E80" s="295"/>
      <c r="F80" s="294"/>
      <c r="G80" s="294"/>
      <c r="H80" s="212" t="s">
        <v>834</v>
      </c>
      <c r="I80" s="206"/>
    </row>
    <row r="81" spans="1:9" ht="29" x14ac:dyDescent="0.35">
      <c r="A81" s="307"/>
      <c r="B81" s="295"/>
      <c r="C81" s="295"/>
      <c r="D81" s="295"/>
      <c r="E81" s="295"/>
      <c r="F81" s="293" t="s">
        <v>55</v>
      </c>
      <c r="G81" s="293" t="s">
        <v>832</v>
      </c>
      <c r="H81" s="212" t="s">
        <v>833</v>
      </c>
      <c r="I81" s="206"/>
    </row>
    <row r="82" spans="1:9" ht="29" x14ac:dyDescent="0.35">
      <c r="A82" s="307"/>
      <c r="B82" s="294"/>
      <c r="C82" s="294"/>
      <c r="D82" s="294"/>
      <c r="E82" s="294"/>
      <c r="F82" s="294"/>
      <c r="G82" s="294"/>
      <c r="H82" s="212" t="s">
        <v>835</v>
      </c>
      <c r="I82" s="206"/>
    </row>
    <row r="83" spans="1:9" ht="29" x14ac:dyDescent="0.35">
      <c r="A83" s="307"/>
      <c r="B83" s="106" t="s">
        <v>836</v>
      </c>
      <c r="C83" s="106" t="s">
        <v>717</v>
      </c>
      <c r="D83" s="106" t="s">
        <v>708</v>
      </c>
      <c r="E83" s="106" t="s">
        <v>837</v>
      </c>
      <c r="F83" s="106" t="s">
        <v>352</v>
      </c>
      <c r="G83" s="106" t="s">
        <v>838</v>
      </c>
      <c r="H83" s="212" t="s">
        <v>839</v>
      </c>
      <c r="I83" s="206"/>
    </row>
    <row r="84" spans="1:9" ht="29" x14ac:dyDescent="0.35">
      <c r="A84" s="307"/>
      <c r="B84" s="293" t="s">
        <v>840</v>
      </c>
      <c r="C84" s="293" t="s">
        <v>691</v>
      </c>
      <c r="D84" s="293" t="s">
        <v>708</v>
      </c>
      <c r="E84" s="293" t="s">
        <v>841</v>
      </c>
      <c r="F84" s="293" t="s">
        <v>842</v>
      </c>
      <c r="G84" s="106" t="s">
        <v>843</v>
      </c>
      <c r="H84" s="212" t="s">
        <v>844</v>
      </c>
      <c r="I84" s="206" t="s">
        <v>1</v>
      </c>
    </row>
    <row r="85" spans="1:9" x14ac:dyDescent="0.35">
      <c r="A85" s="307"/>
      <c r="B85" s="294"/>
      <c r="C85" s="294"/>
      <c r="D85" s="294"/>
      <c r="E85" s="294"/>
      <c r="F85" s="294"/>
      <c r="G85" s="106" t="s">
        <v>719</v>
      </c>
      <c r="H85" s="212" t="s">
        <v>845</v>
      </c>
      <c r="I85" s="206" t="s">
        <v>1</v>
      </c>
    </row>
    <row r="86" spans="1:9" ht="58" x14ac:dyDescent="0.35">
      <c r="A86" s="307"/>
      <c r="B86" s="301" t="s">
        <v>804</v>
      </c>
      <c r="C86" s="301" t="s">
        <v>691</v>
      </c>
      <c r="D86" s="293" t="s">
        <v>708</v>
      </c>
      <c r="E86" s="301" t="s">
        <v>352</v>
      </c>
      <c r="F86" s="301" t="s">
        <v>352</v>
      </c>
      <c r="G86" s="301" t="s">
        <v>805</v>
      </c>
      <c r="H86" s="212" t="s">
        <v>806</v>
      </c>
      <c r="I86" s="206" t="s">
        <v>1</v>
      </c>
    </row>
    <row r="87" spans="1:9" ht="29" x14ac:dyDescent="0.35">
      <c r="A87" s="307"/>
      <c r="B87" s="302"/>
      <c r="C87" s="302"/>
      <c r="D87" s="295"/>
      <c r="E87" s="302"/>
      <c r="F87" s="302"/>
      <c r="G87" s="302"/>
      <c r="H87" s="212" t="s">
        <v>846</v>
      </c>
      <c r="I87" s="206" t="s">
        <v>1</v>
      </c>
    </row>
    <row r="88" spans="1:9" ht="43.5" x14ac:dyDescent="0.35">
      <c r="A88" s="307"/>
      <c r="B88" s="302"/>
      <c r="C88" s="302"/>
      <c r="D88" s="295"/>
      <c r="E88" s="302"/>
      <c r="F88" s="302"/>
      <c r="G88" s="302"/>
      <c r="H88" s="212" t="s">
        <v>847</v>
      </c>
      <c r="I88" s="206" t="s">
        <v>1</v>
      </c>
    </row>
    <row r="89" spans="1:9" ht="29" x14ac:dyDescent="0.35">
      <c r="A89" s="307"/>
      <c r="B89" s="302"/>
      <c r="C89" s="302"/>
      <c r="D89" s="295"/>
      <c r="E89" s="302"/>
      <c r="F89" s="302"/>
      <c r="G89" s="302"/>
      <c r="H89" s="212" t="s">
        <v>809</v>
      </c>
      <c r="I89" s="206" t="s">
        <v>1</v>
      </c>
    </row>
    <row r="90" spans="1:9" x14ac:dyDescent="0.35">
      <c r="A90" s="307"/>
      <c r="B90" s="303"/>
      <c r="C90" s="303"/>
      <c r="D90" s="294"/>
      <c r="E90" s="303"/>
      <c r="F90" s="303"/>
      <c r="G90" s="303"/>
      <c r="H90" s="212" t="s">
        <v>810</v>
      </c>
      <c r="I90" s="206" t="s">
        <v>1</v>
      </c>
    </row>
    <row r="91" spans="1:9" x14ac:dyDescent="0.35">
      <c r="A91" s="307"/>
      <c r="B91" s="312"/>
      <c r="C91" s="312"/>
      <c r="D91" s="312"/>
      <c r="E91" s="312"/>
      <c r="F91" s="312"/>
      <c r="G91" s="312"/>
      <c r="H91" s="312"/>
      <c r="I91" s="206"/>
    </row>
    <row r="92" spans="1:9" ht="29" x14ac:dyDescent="0.35">
      <c r="A92" s="307"/>
      <c r="B92" s="214" t="s">
        <v>848</v>
      </c>
      <c r="C92" s="213" t="s">
        <v>717</v>
      </c>
      <c r="D92" s="213" t="s">
        <v>696</v>
      </c>
      <c r="E92" s="214" t="s">
        <v>756</v>
      </c>
      <c r="F92" s="214" t="s">
        <v>849</v>
      </c>
      <c r="G92" s="214" t="s">
        <v>719</v>
      </c>
      <c r="H92" s="215" t="s">
        <v>850</v>
      </c>
      <c r="I92" s="206"/>
    </row>
    <row r="93" spans="1:9" ht="29" x14ac:dyDescent="0.35">
      <c r="A93" s="307"/>
      <c r="B93" s="296" t="s">
        <v>802</v>
      </c>
      <c r="C93" s="293" t="s">
        <v>717</v>
      </c>
      <c r="D93" s="296" t="s">
        <v>696</v>
      </c>
      <c r="E93" s="296" t="s">
        <v>851</v>
      </c>
      <c r="F93" s="222" t="s">
        <v>852</v>
      </c>
      <c r="G93" s="222" t="s">
        <v>719</v>
      </c>
      <c r="H93" s="223" t="s">
        <v>853</v>
      </c>
      <c r="I93" s="206"/>
    </row>
    <row r="94" spans="1:9" ht="29" x14ac:dyDescent="0.35">
      <c r="A94" s="307"/>
      <c r="B94" s="297"/>
      <c r="C94" s="295"/>
      <c r="D94" s="297"/>
      <c r="E94" s="297"/>
      <c r="F94" s="222" t="s">
        <v>854</v>
      </c>
      <c r="G94" s="222" t="s">
        <v>719</v>
      </c>
      <c r="H94" s="223" t="s">
        <v>855</v>
      </c>
      <c r="I94" s="206"/>
    </row>
    <row r="95" spans="1:9" ht="29" x14ac:dyDescent="0.35">
      <c r="A95" s="307"/>
      <c r="B95" s="298"/>
      <c r="C95" s="294"/>
      <c r="D95" s="298"/>
      <c r="E95" s="298"/>
      <c r="F95" s="222" t="s">
        <v>856</v>
      </c>
      <c r="G95" s="222" t="s">
        <v>761</v>
      </c>
      <c r="H95" s="223" t="s">
        <v>857</v>
      </c>
      <c r="I95" s="206"/>
    </row>
    <row r="96" spans="1:9" x14ac:dyDescent="0.35">
      <c r="A96" s="307"/>
      <c r="B96" s="296" t="s">
        <v>858</v>
      </c>
      <c r="C96" s="293" t="s">
        <v>717</v>
      </c>
      <c r="D96" s="296" t="s">
        <v>696</v>
      </c>
      <c r="E96" s="296" t="s">
        <v>859</v>
      </c>
      <c r="F96" s="296" t="s">
        <v>860</v>
      </c>
      <c r="G96" s="214" t="s">
        <v>861</v>
      </c>
      <c r="H96" s="215" t="s">
        <v>862</v>
      </c>
      <c r="I96" s="206"/>
    </row>
    <row r="97" spans="1:9" ht="29" x14ac:dyDescent="0.35">
      <c r="A97" s="307"/>
      <c r="B97" s="298"/>
      <c r="C97" s="294"/>
      <c r="D97" s="298"/>
      <c r="E97" s="298"/>
      <c r="F97" s="298"/>
      <c r="G97" s="214" t="s">
        <v>761</v>
      </c>
      <c r="H97" s="215" t="s">
        <v>863</v>
      </c>
      <c r="I97" s="206"/>
    </row>
    <row r="98" spans="1:9" ht="29" x14ac:dyDescent="0.35">
      <c r="A98" s="307"/>
      <c r="B98" s="296" t="s">
        <v>864</v>
      </c>
      <c r="C98" s="293" t="s">
        <v>717</v>
      </c>
      <c r="D98" s="296" t="s">
        <v>696</v>
      </c>
      <c r="E98" s="296" t="s">
        <v>865</v>
      </c>
      <c r="F98" s="296" t="s">
        <v>688</v>
      </c>
      <c r="G98" s="214" t="s">
        <v>866</v>
      </c>
      <c r="H98" s="215" t="s">
        <v>867</v>
      </c>
      <c r="I98" s="206"/>
    </row>
    <row r="99" spans="1:9" x14ac:dyDescent="0.35">
      <c r="A99" s="307"/>
      <c r="B99" s="298"/>
      <c r="C99" s="294"/>
      <c r="D99" s="298"/>
      <c r="E99" s="298"/>
      <c r="F99" s="298"/>
      <c r="G99" s="214" t="s">
        <v>719</v>
      </c>
      <c r="H99" s="215" t="s">
        <v>868</v>
      </c>
      <c r="I99" s="206"/>
    </row>
    <row r="100" spans="1:9" ht="29" x14ac:dyDescent="0.35">
      <c r="A100" s="307"/>
      <c r="B100" s="296" t="s">
        <v>759</v>
      </c>
      <c r="C100" s="293" t="s">
        <v>717</v>
      </c>
      <c r="D100" s="296" t="s">
        <v>696</v>
      </c>
      <c r="E100" s="296" t="s">
        <v>760</v>
      </c>
      <c r="F100" s="214" t="s">
        <v>353</v>
      </c>
      <c r="G100" s="214" t="s">
        <v>761</v>
      </c>
      <c r="H100" s="215" t="s">
        <v>762</v>
      </c>
      <c r="I100" s="206"/>
    </row>
    <row r="101" spans="1:9" ht="29" x14ac:dyDescent="0.35">
      <c r="A101" s="307"/>
      <c r="B101" s="298"/>
      <c r="C101" s="294"/>
      <c r="D101" s="298"/>
      <c r="E101" s="298"/>
      <c r="F101" s="214" t="s">
        <v>354</v>
      </c>
      <c r="G101" s="214" t="s">
        <v>761</v>
      </c>
      <c r="H101" s="215" t="s">
        <v>762</v>
      </c>
      <c r="I101" s="206"/>
    </row>
    <row r="102" spans="1:9" ht="29" x14ac:dyDescent="0.35">
      <c r="A102" s="307"/>
      <c r="B102" s="214" t="s">
        <v>869</v>
      </c>
      <c r="C102" s="216" t="s">
        <v>352</v>
      </c>
      <c r="D102" s="214" t="s">
        <v>696</v>
      </c>
      <c r="E102" s="214" t="s">
        <v>870</v>
      </c>
      <c r="F102" s="214" t="s">
        <v>871</v>
      </c>
      <c r="G102" s="214" t="s">
        <v>719</v>
      </c>
      <c r="H102" s="215" t="s">
        <v>872</v>
      </c>
      <c r="I102" s="206"/>
    </row>
    <row r="103" spans="1:9" ht="29" x14ac:dyDescent="0.35">
      <c r="A103" s="307"/>
      <c r="B103" s="214" t="s">
        <v>873</v>
      </c>
      <c r="C103" s="224" t="s">
        <v>691</v>
      </c>
      <c r="D103" s="224" t="s">
        <v>696</v>
      </c>
      <c r="E103" s="214" t="s">
        <v>688</v>
      </c>
      <c r="F103" s="214" t="s">
        <v>356</v>
      </c>
      <c r="G103" s="214" t="s">
        <v>874</v>
      </c>
      <c r="H103" s="215" t="s">
        <v>875</v>
      </c>
      <c r="I103" s="206"/>
    </row>
    <row r="104" spans="1:9" ht="29" x14ac:dyDescent="0.35">
      <c r="A104" s="307"/>
      <c r="B104" s="293" t="s">
        <v>876</v>
      </c>
      <c r="C104" s="293" t="s">
        <v>691</v>
      </c>
      <c r="D104" s="293" t="s">
        <v>696</v>
      </c>
      <c r="E104" s="293" t="s">
        <v>877</v>
      </c>
      <c r="F104" s="293" t="s">
        <v>352</v>
      </c>
      <c r="G104" s="224" t="s">
        <v>878</v>
      </c>
      <c r="H104" s="225" t="s">
        <v>879</v>
      </c>
      <c r="I104" s="206"/>
    </row>
    <row r="105" spans="1:9" x14ac:dyDescent="0.35">
      <c r="A105" s="307"/>
      <c r="B105" s="295"/>
      <c r="C105" s="295"/>
      <c r="D105" s="295"/>
      <c r="E105" s="295"/>
      <c r="F105" s="295"/>
      <c r="G105" s="106" t="s">
        <v>719</v>
      </c>
      <c r="H105" s="212" t="s">
        <v>880</v>
      </c>
      <c r="I105" s="206"/>
    </row>
    <row r="106" spans="1:9" x14ac:dyDescent="0.35">
      <c r="A106" s="307"/>
      <c r="B106" s="295"/>
      <c r="C106" s="295"/>
      <c r="D106" s="295"/>
      <c r="E106" s="295"/>
      <c r="F106" s="295"/>
      <c r="G106" s="106"/>
      <c r="H106" s="212" t="s">
        <v>881</v>
      </c>
      <c r="I106" s="206"/>
    </row>
    <row r="107" spans="1:9" ht="29" x14ac:dyDescent="0.35">
      <c r="A107" s="307"/>
      <c r="B107" s="295"/>
      <c r="C107" s="295"/>
      <c r="D107" s="295"/>
      <c r="E107" s="294"/>
      <c r="F107" s="294"/>
      <c r="G107" s="106" t="s">
        <v>725</v>
      </c>
      <c r="H107" s="212" t="s">
        <v>882</v>
      </c>
      <c r="I107" s="206"/>
    </row>
    <row r="108" spans="1:9" ht="29" x14ac:dyDescent="0.35">
      <c r="A108" s="307"/>
      <c r="B108" s="295"/>
      <c r="C108" s="294"/>
      <c r="D108" s="294"/>
      <c r="E108" s="106" t="s">
        <v>883</v>
      </c>
      <c r="F108" s="106" t="s">
        <v>352</v>
      </c>
      <c r="G108" s="106" t="s">
        <v>719</v>
      </c>
      <c r="H108" s="212" t="s">
        <v>884</v>
      </c>
      <c r="I108" s="206"/>
    </row>
    <row r="109" spans="1:9" x14ac:dyDescent="0.35">
      <c r="A109" s="307"/>
      <c r="B109" s="294"/>
      <c r="C109" s="106" t="s">
        <v>717</v>
      </c>
      <c r="D109" s="106" t="s">
        <v>696</v>
      </c>
      <c r="E109" s="106" t="s">
        <v>717</v>
      </c>
      <c r="F109" s="106" t="s">
        <v>352</v>
      </c>
      <c r="G109" s="106" t="s">
        <v>719</v>
      </c>
      <c r="H109" s="212" t="s">
        <v>885</v>
      </c>
      <c r="I109" s="206"/>
    </row>
    <row r="110" spans="1:9" x14ac:dyDescent="0.35">
      <c r="A110" s="307"/>
      <c r="B110" s="293" t="s">
        <v>886</v>
      </c>
      <c r="C110" s="293" t="s">
        <v>352</v>
      </c>
      <c r="D110" s="293" t="s">
        <v>696</v>
      </c>
      <c r="E110" s="293" t="s">
        <v>688</v>
      </c>
      <c r="F110" s="293" t="s">
        <v>688</v>
      </c>
      <c r="G110" s="106" t="s">
        <v>719</v>
      </c>
      <c r="H110" s="212" t="s">
        <v>887</v>
      </c>
      <c r="I110" s="206"/>
    </row>
    <row r="111" spans="1:9" x14ac:dyDescent="0.35">
      <c r="A111" s="307"/>
      <c r="B111" s="294"/>
      <c r="C111" s="294"/>
      <c r="D111" s="294"/>
      <c r="E111" s="294"/>
      <c r="F111" s="294"/>
      <c r="G111" s="106" t="s">
        <v>725</v>
      </c>
      <c r="H111" s="212" t="s">
        <v>888</v>
      </c>
      <c r="I111" s="206"/>
    </row>
    <row r="112" spans="1:9" ht="29" x14ac:dyDescent="0.35">
      <c r="A112" s="307"/>
      <c r="B112" s="106" t="s">
        <v>889</v>
      </c>
      <c r="C112" s="106" t="s">
        <v>352</v>
      </c>
      <c r="D112" s="106" t="s">
        <v>696</v>
      </c>
      <c r="E112" s="106" t="s">
        <v>688</v>
      </c>
      <c r="F112" s="106" t="s">
        <v>688</v>
      </c>
      <c r="G112" s="106" t="s">
        <v>725</v>
      </c>
      <c r="H112" s="212" t="s">
        <v>890</v>
      </c>
      <c r="I112" s="206"/>
    </row>
    <row r="113" spans="1:9" ht="43.5" x14ac:dyDescent="0.35">
      <c r="A113" s="307"/>
      <c r="B113" s="106" t="s">
        <v>891</v>
      </c>
      <c r="C113" s="106" t="s">
        <v>352</v>
      </c>
      <c r="D113" s="106" t="s">
        <v>696</v>
      </c>
      <c r="E113" s="106" t="s">
        <v>688</v>
      </c>
      <c r="F113" s="106" t="s">
        <v>688</v>
      </c>
      <c r="G113" s="106" t="s">
        <v>725</v>
      </c>
      <c r="H113" s="212" t="s">
        <v>892</v>
      </c>
      <c r="I113" s="206"/>
    </row>
    <row r="114" spans="1:9" x14ac:dyDescent="0.35">
      <c r="A114" s="307"/>
      <c r="B114" s="293" t="s">
        <v>893</v>
      </c>
      <c r="C114" s="293" t="s">
        <v>352</v>
      </c>
      <c r="D114" s="293" t="s">
        <v>696</v>
      </c>
      <c r="E114" s="293" t="s">
        <v>894</v>
      </c>
      <c r="F114" s="213" t="s">
        <v>895</v>
      </c>
      <c r="G114" s="213" t="s">
        <v>832</v>
      </c>
      <c r="H114" s="212" t="s">
        <v>896</v>
      </c>
      <c r="I114" s="206"/>
    </row>
    <row r="115" spans="1:9" x14ac:dyDescent="0.35">
      <c r="A115" s="307"/>
      <c r="B115" s="294"/>
      <c r="C115" s="294"/>
      <c r="D115" s="294"/>
      <c r="E115" s="294"/>
      <c r="F115" s="213" t="s">
        <v>897</v>
      </c>
      <c r="G115" s="213" t="s">
        <v>832</v>
      </c>
      <c r="H115" s="212" t="s">
        <v>896</v>
      </c>
      <c r="I115" s="206"/>
    </row>
    <row r="116" spans="1:9" x14ac:dyDescent="0.35">
      <c r="A116" s="307"/>
      <c r="B116" s="296" t="s">
        <v>898</v>
      </c>
      <c r="C116" s="296" t="s">
        <v>352</v>
      </c>
      <c r="D116" s="293" t="s">
        <v>696</v>
      </c>
      <c r="E116" s="296" t="s">
        <v>865</v>
      </c>
      <c r="F116" s="296" t="s">
        <v>688</v>
      </c>
      <c r="G116" s="296" t="s">
        <v>725</v>
      </c>
      <c r="H116" s="215" t="s">
        <v>899</v>
      </c>
      <c r="I116" s="206"/>
    </row>
    <row r="117" spans="1:9" x14ac:dyDescent="0.35">
      <c r="A117" s="307"/>
      <c r="B117" s="297"/>
      <c r="C117" s="297"/>
      <c r="D117" s="295"/>
      <c r="E117" s="297"/>
      <c r="F117" s="297"/>
      <c r="G117" s="297"/>
      <c r="H117" s="215" t="s">
        <v>900</v>
      </c>
      <c r="I117" s="206"/>
    </row>
    <row r="118" spans="1:9" x14ac:dyDescent="0.35">
      <c r="A118" s="307"/>
      <c r="B118" s="297"/>
      <c r="C118" s="297"/>
      <c r="D118" s="295"/>
      <c r="E118" s="297"/>
      <c r="F118" s="297"/>
      <c r="G118" s="297"/>
      <c r="H118" s="215" t="s">
        <v>901</v>
      </c>
      <c r="I118" s="206"/>
    </row>
    <row r="119" spans="1:9" ht="29" x14ac:dyDescent="0.35">
      <c r="A119" s="307"/>
      <c r="B119" s="297"/>
      <c r="C119" s="297"/>
      <c r="D119" s="295"/>
      <c r="E119" s="297"/>
      <c r="F119" s="297"/>
      <c r="G119" s="297"/>
      <c r="H119" s="215" t="s">
        <v>902</v>
      </c>
      <c r="I119" s="206"/>
    </row>
    <row r="120" spans="1:9" x14ac:dyDescent="0.35">
      <c r="A120" s="307"/>
      <c r="B120" s="297"/>
      <c r="C120" s="297"/>
      <c r="D120" s="295"/>
      <c r="E120" s="297"/>
      <c r="F120" s="297"/>
      <c r="G120" s="297"/>
      <c r="H120" s="215" t="s">
        <v>903</v>
      </c>
      <c r="I120" s="206"/>
    </row>
    <row r="121" spans="1:9" x14ac:dyDescent="0.35">
      <c r="A121" s="307"/>
      <c r="B121" s="298"/>
      <c r="C121" s="298"/>
      <c r="D121" s="294"/>
      <c r="E121" s="298"/>
      <c r="F121" s="298"/>
      <c r="G121" s="298"/>
      <c r="H121" s="215" t="s">
        <v>904</v>
      </c>
      <c r="I121" s="206"/>
    </row>
    <row r="122" spans="1:9" x14ac:dyDescent="0.35">
      <c r="A122" s="307"/>
      <c r="B122" s="312"/>
      <c r="C122" s="312"/>
      <c r="D122" s="312"/>
      <c r="E122" s="312"/>
      <c r="F122" s="312"/>
      <c r="G122" s="312"/>
      <c r="H122" s="312"/>
      <c r="I122" s="206"/>
    </row>
    <row r="123" spans="1:9" ht="29" x14ac:dyDescent="0.35">
      <c r="A123" s="307"/>
      <c r="B123" s="106" t="s">
        <v>779</v>
      </c>
      <c r="C123" s="106" t="s">
        <v>352</v>
      </c>
      <c r="D123" s="106" t="s">
        <v>694</v>
      </c>
      <c r="E123" s="106" t="s">
        <v>739</v>
      </c>
      <c r="F123" s="106" t="s">
        <v>352</v>
      </c>
      <c r="G123" s="106" t="s">
        <v>719</v>
      </c>
      <c r="H123" s="212" t="s">
        <v>781</v>
      </c>
      <c r="I123" s="206"/>
    </row>
    <row r="124" spans="1:9" ht="29" x14ac:dyDescent="0.35">
      <c r="A124" s="307"/>
      <c r="B124" s="296" t="s">
        <v>905</v>
      </c>
      <c r="C124" s="293" t="s">
        <v>352</v>
      </c>
      <c r="D124" s="296" t="s">
        <v>694</v>
      </c>
      <c r="E124" s="296" t="s">
        <v>750</v>
      </c>
      <c r="F124" s="214" t="s">
        <v>906</v>
      </c>
      <c r="G124" s="214" t="s">
        <v>748</v>
      </c>
      <c r="H124" s="215" t="s">
        <v>907</v>
      </c>
      <c r="I124" s="206"/>
    </row>
    <row r="125" spans="1:9" ht="29" x14ac:dyDescent="0.35">
      <c r="A125" s="307"/>
      <c r="B125" s="297"/>
      <c r="C125" s="295"/>
      <c r="D125" s="297"/>
      <c r="E125" s="297"/>
      <c r="F125" s="214" t="s">
        <v>908</v>
      </c>
      <c r="G125" s="214" t="s">
        <v>748</v>
      </c>
      <c r="H125" s="215" t="s">
        <v>909</v>
      </c>
      <c r="I125" s="206"/>
    </row>
    <row r="126" spans="1:9" ht="29" x14ac:dyDescent="0.35">
      <c r="A126" s="307"/>
      <c r="B126" s="298"/>
      <c r="C126" s="294"/>
      <c r="D126" s="298"/>
      <c r="E126" s="298"/>
      <c r="F126" s="214" t="s">
        <v>910</v>
      </c>
      <c r="G126" s="214" t="s">
        <v>748</v>
      </c>
      <c r="H126" s="215" t="s">
        <v>911</v>
      </c>
      <c r="I126" s="206"/>
    </row>
    <row r="127" spans="1:9" x14ac:dyDescent="0.35">
      <c r="A127" s="307"/>
      <c r="B127" s="222" t="s">
        <v>912</v>
      </c>
      <c r="C127" s="213" t="s">
        <v>352</v>
      </c>
      <c r="D127" s="214" t="s">
        <v>694</v>
      </c>
      <c r="E127" s="222" t="s">
        <v>352</v>
      </c>
      <c r="F127" s="222" t="s">
        <v>352</v>
      </c>
      <c r="G127" s="222" t="s">
        <v>725</v>
      </c>
      <c r="H127" s="223" t="s">
        <v>913</v>
      </c>
      <c r="I127" s="206"/>
    </row>
    <row r="128" spans="1:9" ht="43.5" x14ac:dyDescent="0.35">
      <c r="A128" s="307"/>
      <c r="B128" s="226" t="s">
        <v>914</v>
      </c>
      <c r="C128" s="227" t="s">
        <v>717</v>
      </c>
      <c r="D128" s="226" t="s">
        <v>694</v>
      </c>
      <c r="E128" s="226" t="s">
        <v>915</v>
      </c>
      <c r="F128" s="226" t="s">
        <v>164</v>
      </c>
      <c r="G128" s="226" t="s">
        <v>744</v>
      </c>
      <c r="H128" s="228" t="s">
        <v>916</v>
      </c>
      <c r="I128" s="206"/>
    </row>
    <row r="129" spans="1:9" x14ac:dyDescent="0.35">
      <c r="A129" s="307"/>
      <c r="B129" s="296" t="s">
        <v>851</v>
      </c>
      <c r="C129" s="293" t="s">
        <v>717</v>
      </c>
      <c r="D129" s="296" t="s">
        <v>694</v>
      </c>
      <c r="E129" s="296" t="s">
        <v>851</v>
      </c>
      <c r="F129" s="222" t="s">
        <v>348</v>
      </c>
      <c r="G129" s="222" t="s">
        <v>719</v>
      </c>
      <c r="H129" s="223" t="s">
        <v>917</v>
      </c>
      <c r="I129" s="206"/>
    </row>
    <row r="130" spans="1:9" x14ac:dyDescent="0.35">
      <c r="A130" s="307"/>
      <c r="B130" s="298"/>
      <c r="C130" s="294"/>
      <c r="D130" s="298"/>
      <c r="E130" s="298"/>
      <c r="F130" s="229" t="s">
        <v>349</v>
      </c>
      <c r="G130" s="222" t="s">
        <v>719</v>
      </c>
      <c r="H130" s="223" t="s">
        <v>917</v>
      </c>
      <c r="I130" s="206"/>
    </row>
    <row r="131" spans="1:9" x14ac:dyDescent="0.35">
      <c r="A131" s="307"/>
      <c r="B131" s="296" t="s">
        <v>756</v>
      </c>
      <c r="C131" s="296" t="s">
        <v>691</v>
      </c>
      <c r="D131" s="296" t="s">
        <v>694</v>
      </c>
      <c r="E131" s="296" t="s">
        <v>756</v>
      </c>
      <c r="F131" s="214" t="s">
        <v>163</v>
      </c>
      <c r="G131" s="214" t="s">
        <v>689</v>
      </c>
      <c r="H131" s="215" t="s">
        <v>758</v>
      </c>
      <c r="I131" s="206"/>
    </row>
    <row r="132" spans="1:9" x14ac:dyDescent="0.35">
      <c r="A132" s="307"/>
      <c r="B132" s="298"/>
      <c r="C132" s="298"/>
      <c r="D132" s="298"/>
      <c r="E132" s="298"/>
      <c r="F132" s="213" t="s">
        <v>166</v>
      </c>
      <c r="G132" s="214" t="s">
        <v>689</v>
      </c>
      <c r="H132" s="215" t="s">
        <v>758</v>
      </c>
      <c r="I132" s="206"/>
    </row>
    <row r="133" spans="1:9" ht="29" x14ac:dyDescent="0.35">
      <c r="A133" s="307"/>
      <c r="B133" s="214" t="s">
        <v>918</v>
      </c>
      <c r="C133" s="213" t="s">
        <v>691</v>
      </c>
      <c r="D133" s="214" t="s">
        <v>694</v>
      </c>
      <c r="E133" s="214" t="s">
        <v>919</v>
      </c>
      <c r="F133" s="214" t="s">
        <v>172</v>
      </c>
      <c r="G133" s="214" t="s">
        <v>719</v>
      </c>
      <c r="H133" s="215" t="s">
        <v>920</v>
      </c>
      <c r="I133" s="206"/>
    </row>
    <row r="134" spans="1:9" ht="29" x14ac:dyDescent="0.35">
      <c r="A134" s="307"/>
      <c r="B134" s="230" t="s">
        <v>921</v>
      </c>
      <c r="C134" s="231" t="s">
        <v>691</v>
      </c>
      <c r="D134" s="230" t="s">
        <v>694</v>
      </c>
      <c r="E134" s="230" t="s">
        <v>921</v>
      </c>
      <c r="F134" s="230" t="s">
        <v>175</v>
      </c>
      <c r="G134" s="230" t="s">
        <v>689</v>
      </c>
      <c r="H134" s="232" t="s">
        <v>922</v>
      </c>
      <c r="I134" s="206"/>
    </row>
    <row r="135" spans="1:9" x14ac:dyDescent="0.35">
      <c r="A135" s="307"/>
      <c r="B135" s="312"/>
      <c r="C135" s="312"/>
      <c r="D135" s="312"/>
      <c r="E135" s="312"/>
      <c r="F135" s="312"/>
      <c r="G135" s="312"/>
      <c r="H135" s="312"/>
      <c r="I135" s="206"/>
    </row>
    <row r="136" spans="1:9" x14ac:dyDescent="0.35">
      <c r="A136" s="307"/>
      <c r="B136" s="296" t="s">
        <v>923</v>
      </c>
      <c r="C136" s="293" t="s">
        <v>352</v>
      </c>
      <c r="D136" s="296" t="s">
        <v>153</v>
      </c>
      <c r="E136" s="296" t="s">
        <v>352</v>
      </c>
      <c r="F136" s="296" t="s">
        <v>352</v>
      </c>
      <c r="G136" s="296" t="s">
        <v>719</v>
      </c>
      <c r="H136" s="215" t="s">
        <v>924</v>
      </c>
      <c r="I136" s="206"/>
    </row>
    <row r="137" spans="1:9" x14ac:dyDescent="0.35">
      <c r="A137" s="307"/>
      <c r="B137" s="297"/>
      <c r="C137" s="295"/>
      <c r="D137" s="297"/>
      <c r="E137" s="297"/>
      <c r="F137" s="297"/>
      <c r="G137" s="298"/>
      <c r="H137" s="215" t="s">
        <v>925</v>
      </c>
      <c r="I137" s="206"/>
    </row>
    <row r="138" spans="1:9" x14ac:dyDescent="0.35">
      <c r="A138" s="307"/>
      <c r="B138" s="298"/>
      <c r="C138" s="294"/>
      <c r="D138" s="298"/>
      <c r="E138" s="298"/>
      <c r="F138" s="298"/>
      <c r="G138" s="214" t="s">
        <v>926</v>
      </c>
      <c r="H138" s="215" t="s">
        <v>927</v>
      </c>
      <c r="I138" s="206"/>
    </row>
    <row r="139" spans="1:9" ht="14.4" customHeight="1" x14ac:dyDescent="0.35">
      <c r="A139" s="307"/>
      <c r="B139" s="296" t="s">
        <v>928</v>
      </c>
      <c r="C139" s="293" t="s">
        <v>352</v>
      </c>
      <c r="D139" s="296" t="s">
        <v>153</v>
      </c>
      <c r="E139" s="296" t="s">
        <v>739</v>
      </c>
      <c r="F139" s="296" t="s">
        <v>352</v>
      </c>
      <c r="G139" s="296" t="s">
        <v>725</v>
      </c>
      <c r="H139" s="215" t="s">
        <v>929</v>
      </c>
      <c r="I139" s="206"/>
    </row>
    <row r="140" spans="1:9" x14ac:dyDescent="0.35">
      <c r="A140" s="307"/>
      <c r="B140" s="297"/>
      <c r="C140" s="295"/>
      <c r="D140" s="297"/>
      <c r="E140" s="297"/>
      <c r="F140" s="297"/>
      <c r="G140" s="297"/>
      <c r="H140" s="215" t="s">
        <v>930</v>
      </c>
      <c r="I140" s="206"/>
    </row>
    <row r="141" spans="1:9" x14ac:dyDescent="0.35">
      <c r="A141" s="307"/>
      <c r="B141" s="297"/>
      <c r="C141" s="295"/>
      <c r="D141" s="297"/>
      <c r="E141" s="297"/>
      <c r="F141" s="297"/>
      <c r="G141" s="297"/>
      <c r="H141" s="215" t="s">
        <v>931</v>
      </c>
      <c r="I141" s="206"/>
    </row>
    <row r="142" spans="1:9" x14ac:dyDescent="0.35">
      <c r="A142" s="307"/>
      <c r="B142" s="297"/>
      <c r="C142" s="295"/>
      <c r="D142" s="297"/>
      <c r="E142" s="297"/>
      <c r="F142" s="297"/>
      <c r="G142" s="297"/>
      <c r="H142" s="215" t="s">
        <v>932</v>
      </c>
      <c r="I142" s="206"/>
    </row>
    <row r="143" spans="1:9" x14ac:dyDescent="0.35">
      <c r="A143" s="307"/>
      <c r="B143" s="297"/>
      <c r="C143" s="295"/>
      <c r="D143" s="297"/>
      <c r="E143" s="297"/>
      <c r="F143" s="297"/>
      <c r="G143" s="297"/>
      <c r="H143" s="215" t="s">
        <v>933</v>
      </c>
      <c r="I143" s="206"/>
    </row>
    <row r="144" spans="1:9" x14ac:dyDescent="0.35">
      <c r="A144" s="307"/>
      <c r="B144" s="297"/>
      <c r="C144" s="295"/>
      <c r="D144" s="297"/>
      <c r="E144" s="297"/>
      <c r="F144" s="297"/>
      <c r="G144" s="297"/>
      <c r="H144" s="215" t="s">
        <v>934</v>
      </c>
      <c r="I144" s="206"/>
    </row>
    <row r="145" spans="1:9" x14ac:dyDescent="0.35">
      <c r="A145" s="307"/>
      <c r="B145" s="297"/>
      <c r="C145" s="295"/>
      <c r="D145" s="297"/>
      <c r="E145" s="297"/>
      <c r="F145" s="297"/>
      <c r="G145" s="297"/>
      <c r="H145" s="215" t="s">
        <v>935</v>
      </c>
      <c r="I145" s="206"/>
    </row>
    <row r="146" spans="1:9" x14ac:dyDescent="0.35">
      <c r="A146" s="307"/>
      <c r="B146" s="297"/>
      <c r="C146" s="295"/>
      <c r="D146" s="297"/>
      <c r="E146" s="297"/>
      <c r="F146" s="297"/>
      <c r="G146" s="297"/>
      <c r="H146" s="215" t="s">
        <v>936</v>
      </c>
      <c r="I146" s="206"/>
    </row>
    <row r="147" spans="1:9" x14ac:dyDescent="0.35">
      <c r="A147" s="307"/>
      <c r="B147" s="297"/>
      <c r="C147" s="295"/>
      <c r="D147" s="297"/>
      <c r="E147" s="297"/>
      <c r="F147" s="297"/>
      <c r="G147" s="297"/>
      <c r="H147" s="215" t="s">
        <v>937</v>
      </c>
      <c r="I147" s="206"/>
    </row>
    <row r="148" spans="1:9" x14ac:dyDescent="0.35">
      <c r="A148" s="307"/>
      <c r="B148" s="297"/>
      <c r="C148" s="295"/>
      <c r="D148" s="297"/>
      <c r="E148" s="297"/>
      <c r="F148" s="297"/>
      <c r="G148" s="297"/>
      <c r="H148" s="215" t="s">
        <v>938</v>
      </c>
      <c r="I148" s="206"/>
    </row>
    <row r="149" spans="1:9" x14ac:dyDescent="0.35">
      <c r="A149" s="307"/>
      <c r="B149" s="298"/>
      <c r="C149" s="294"/>
      <c r="D149" s="298"/>
      <c r="E149" s="298"/>
      <c r="F149" s="298"/>
      <c r="G149" s="298"/>
      <c r="H149" s="215" t="s">
        <v>939</v>
      </c>
      <c r="I149" s="206"/>
    </row>
    <row r="150" spans="1:9" x14ac:dyDescent="0.35">
      <c r="A150" s="307"/>
      <c r="B150" s="313" t="s">
        <v>940</v>
      </c>
      <c r="C150" s="293" t="s">
        <v>352</v>
      </c>
      <c r="D150" s="296" t="s">
        <v>153</v>
      </c>
      <c r="E150" s="214" t="s">
        <v>941</v>
      </c>
      <c r="F150" s="214" t="s">
        <v>352</v>
      </c>
      <c r="G150" s="214" t="s">
        <v>926</v>
      </c>
      <c r="H150" s="215" t="s">
        <v>942</v>
      </c>
      <c r="I150" s="206"/>
    </row>
    <row r="151" spans="1:9" x14ac:dyDescent="0.35">
      <c r="A151" s="307"/>
      <c r="B151" s="314"/>
      <c r="C151" s="294"/>
      <c r="D151" s="298"/>
      <c r="E151" s="214" t="s">
        <v>352</v>
      </c>
      <c r="F151" s="214" t="s">
        <v>352</v>
      </c>
      <c r="G151" s="214" t="s">
        <v>926</v>
      </c>
      <c r="H151" s="215" t="s">
        <v>943</v>
      </c>
      <c r="I151" s="206"/>
    </row>
    <row r="152" spans="1:9" x14ac:dyDescent="0.35">
      <c r="A152" s="307"/>
      <c r="B152" s="312"/>
      <c r="C152" s="312"/>
      <c r="D152" s="312"/>
      <c r="E152" s="312"/>
      <c r="F152" s="312"/>
      <c r="G152" s="312"/>
      <c r="H152" s="312"/>
      <c r="I152" s="206"/>
    </row>
    <row r="153" spans="1:9" ht="29" x14ac:dyDescent="0.35">
      <c r="A153" s="307"/>
      <c r="B153" s="214" t="s">
        <v>944</v>
      </c>
      <c r="C153" s="213" t="s">
        <v>352</v>
      </c>
      <c r="D153" s="214" t="s">
        <v>93</v>
      </c>
      <c r="E153" s="214" t="s">
        <v>352</v>
      </c>
      <c r="F153" s="214" t="s">
        <v>352</v>
      </c>
      <c r="G153" s="214" t="s">
        <v>719</v>
      </c>
      <c r="H153" s="215" t="s">
        <v>945</v>
      </c>
      <c r="I153" s="206"/>
    </row>
    <row r="154" spans="1:9" ht="29" x14ac:dyDescent="0.35">
      <c r="A154" s="307"/>
      <c r="B154" s="214" t="s">
        <v>946</v>
      </c>
      <c r="C154" s="213" t="s">
        <v>352</v>
      </c>
      <c r="D154" s="214" t="s">
        <v>93</v>
      </c>
      <c r="E154" s="214" t="s">
        <v>352</v>
      </c>
      <c r="F154" s="214" t="s">
        <v>352</v>
      </c>
      <c r="G154" s="214" t="s">
        <v>719</v>
      </c>
      <c r="H154" s="215" t="s">
        <v>947</v>
      </c>
      <c r="I154" s="206"/>
    </row>
    <row r="155" spans="1:9" ht="29" x14ac:dyDescent="0.35">
      <c r="A155" s="307"/>
      <c r="B155" s="296" t="s">
        <v>948</v>
      </c>
      <c r="C155" s="293" t="s">
        <v>352</v>
      </c>
      <c r="D155" s="296" t="s">
        <v>93</v>
      </c>
      <c r="E155" s="296" t="s">
        <v>352</v>
      </c>
      <c r="F155" s="296" t="s">
        <v>352</v>
      </c>
      <c r="G155" s="296" t="s">
        <v>725</v>
      </c>
      <c r="H155" s="215" t="s">
        <v>949</v>
      </c>
      <c r="I155" s="206"/>
    </row>
    <row r="156" spans="1:9" x14ac:dyDescent="0.35">
      <c r="A156" s="307"/>
      <c r="B156" s="297"/>
      <c r="C156" s="295"/>
      <c r="D156" s="297"/>
      <c r="E156" s="297"/>
      <c r="F156" s="297"/>
      <c r="G156" s="297"/>
      <c r="H156" s="215" t="s">
        <v>950</v>
      </c>
      <c r="I156" s="206"/>
    </row>
    <row r="157" spans="1:9" x14ac:dyDescent="0.35">
      <c r="A157" s="307"/>
      <c r="B157" s="297"/>
      <c r="C157" s="295"/>
      <c r="D157" s="297"/>
      <c r="E157" s="297"/>
      <c r="F157" s="297"/>
      <c r="G157" s="297"/>
      <c r="H157" s="215" t="s">
        <v>951</v>
      </c>
      <c r="I157" s="206"/>
    </row>
    <row r="158" spans="1:9" x14ac:dyDescent="0.35">
      <c r="A158" s="307"/>
      <c r="B158" s="297"/>
      <c r="C158" s="295"/>
      <c r="D158" s="297"/>
      <c r="E158" s="297"/>
      <c r="F158" s="297"/>
      <c r="G158" s="297"/>
      <c r="H158" s="215" t="s">
        <v>952</v>
      </c>
      <c r="I158" s="206"/>
    </row>
    <row r="159" spans="1:9" x14ac:dyDescent="0.35">
      <c r="A159" s="307"/>
      <c r="B159" s="297"/>
      <c r="C159" s="295"/>
      <c r="D159" s="297"/>
      <c r="E159" s="297"/>
      <c r="F159" s="297"/>
      <c r="G159" s="297"/>
      <c r="H159" s="215" t="s">
        <v>953</v>
      </c>
      <c r="I159" s="206"/>
    </row>
    <row r="160" spans="1:9" x14ac:dyDescent="0.35">
      <c r="A160" s="308"/>
      <c r="B160" s="298"/>
      <c r="C160" s="294"/>
      <c r="D160" s="298"/>
      <c r="E160" s="298"/>
      <c r="F160" s="298"/>
      <c r="G160" s="298"/>
      <c r="H160" s="215" t="s">
        <v>954</v>
      </c>
      <c r="I160" s="206"/>
    </row>
    <row r="161" spans="1:9" x14ac:dyDescent="0.35">
      <c r="A161" s="288"/>
      <c r="B161" s="289"/>
      <c r="C161" s="289"/>
      <c r="D161" s="289"/>
      <c r="E161" s="289"/>
      <c r="F161" s="289"/>
      <c r="G161" s="289"/>
      <c r="H161" s="289"/>
      <c r="I161" s="206"/>
    </row>
    <row r="162" spans="1:9" x14ac:dyDescent="0.35">
      <c r="A162" s="306" t="s">
        <v>955</v>
      </c>
      <c r="B162" s="214" t="s">
        <v>956</v>
      </c>
      <c r="C162" s="213" t="s">
        <v>352</v>
      </c>
      <c r="D162" s="214" t="s">
        <v>352</v>
      </c>
      <c r="E162" s="214" t="s">
        <v>352</v>
      </c>
      <c r="F162" s="214" t="s">
        <v>352</v>
      </c>
      <c r="G162" s="233" t="s">
        <v>719</v>
      </c>
      <c r="H162" s="234" t="s">
        <v>957</v>
      </c>
      <c r="I162" s="206"/>
    </row>
    <row r="163" spans="1:9" x14ac:dyDescent="0.35">
      <c r="A163" s="307"/>
      <c r="B163" s="296" t="s">
        <v>958</v>
      </c>
      <c r="C163" s="293" t="s">
        <v>352</v>
      </c>
      <c r="D163" s="296" t="s">
        <v>352</v>
      </c>
      <c r="E163" s="296" t="s">
        <v>959</v>
      </c>
      <c r="F163" s="296" t="s">
        <v>352</v>
      </c>
      <c r="G163" s="233" t="s">
        <v>719</v>
      </c>
      <c r="H163" s="234" t="s">
        <v>960</v>
      </c>
      <c r="I163" s="206"/>
    </row>
    <row r="164" spans="1:9" ht="29" x14ac:dyDescent="0.35">
      <c r="A164" s="307"/>
      <c r="B164" s="297"/>
      <c r="C164" s="295"/>
      <c r="D164" s="297"/>
      <c r="E164" s="297"/>
      <c r="F164" s="297"/>
      <c r="G164" s="233" t="s">
        <v>719</v>
      </c>
      <c r="H164" s="234" t="s">
        <v>961</v>
      </c>
      <c r="I164" s="206"/>
    </row>
    <row r="165" spans="1:9" x14ac:dyDescent="0.35">
      <c r="A165" s="307"/>
      <c r="B165" s="297"/>
      <c r="C165" s="295"/>
      <c r="D165" s="297"/>
      <c r="E165" s="297"/>
      <c r="F165" s="297"/>
      <c r="G165" s="233" t="s">
        <v>725</v>
      </c>
      <c r="H165" s="234" t="s">
        <v>962</v>
      </c>
      <c r="I165" s="206"/>
    </row>
    <row r="166" spans="1:9" x14ac:dyDescent="0.35">
      <c r="A166" s="307"/>
      <c r="B166" s="297"/>
      <c r="C166" s="295"/>
      <c r="D166" s="297"/>
      <c r="E166" s="297"/>
      <c r="F166" s="297"/>
      <c r="G166" s="233" t="s">
        <v>725</v>
      </c>
      <c r="H166" s="234" t="s">
        <v>963</v>
      </c>
      <c r="I166" s="206"/>
    </row>
    <row r="167" spans="1:9" x14ac:dyDescent="0.35">
      <c r="A167" s="307"/>
      <c r="B167" s="297"/>
      <c r="C167" s="295"/>
      <c r="D167" s="297"/>
      <c r="E167" s="297"/>
      <c r="F167" s="297"/>
      <c r="G167" s="233" t="s">
        <v>725</v>
      </c>
      <c r="H167" s="234" t="s">
        <v>964</v>
      </c>
      <c r="I167" s="206"/>
    </row>
    <row r="168" spans="1:9" x14ac:dyDescent="0.35">
      <c r="A168" s="307"/>
      <c r="B168" s="297"/>
      <c r="C168" s="295"/>
      <c r="D168" s="297"/>
      <c r="E168" s="297"/>
      <c r="F168" s="297"/>
      <c r="G168" s="233" t="s">
        <v>719</v>
      </c>
      <c r="H168" s="234" t="s">
        <v>965</v>
      </c>
      <c r="I168" s="206"/>
    </row>
    <row r="169" spans="1:9" x14ac:dyDescent="0.35">
      <c r="A169" s="307"/>
      <c r="B169" s="297"/>
      <c r="C169" s="295"/>
      <c r="D169" s="297"/>
      <c r="E169" s="297"/>
      <c r="F169" s="297"/>
      <c r="G169" s="233" t="s">
        <v>719</v>
      </c>
      <c r="H169" s="234" t="s">
        <v>966</v>
      </c>
      <c r="I169" s="206"/>
    </row>
    <row r="170" spans="1:9" x14ac:dyDescent="0.35">
      <c r="A170" s="307"/>
      <c r="B170" s="297"/>
      <c r="C170" s="295"/>
      <c r="D170" s="297"/>
      <c r="E170" s="297"/>
      <c r="F170" s="297"/>
      <c r="G170" s="233" t="s">
        <v>719</v>
      </c>
      <c r="H170" s="234" t="s">
        <v>967</v>
      </c>
      <c r="I170" s="206"/>
    </row>
    <row r="171" spans="1:9" x14ac:dyDescent="0.35">
      <c r="A171" s="307"/>
      <c r="B171" s="298"/>
      <c r="C171" s="294"/>
      <c r="D171" s="298"/>
      <c r="E171" s="298"/>
      <c r="F171" s="298"/>
      <c r="G171" s="233" t="s">
        <v>861</v>
      </c>
      <c r="H171" s="234" t="s">
        <v>968</v>
      </c>
      <c r="I171" s="206"/>
    </row>
    <row r="172" spans="1:9" ht="43.5" x14ac:dyDescent="0.35">
      <c r="A172" s="307"/>
      <c r="B172" s="230" t="s">
        <v>969</v>
      </c>
      <c r="C172" s="231" t="s">
        <v>352</v>
      </c>
      <c r="D172" s="230" t="s">
        <v>352</v>
      </c>
      <c r="E172" s="230" t="s">
        <v>970</v>
      </c>
      <c r="F172" s="230" t="s">
        <v>352</v>
      </c>
      <c r="G172" s="214" t="s">
        <v>719</v>
      </c>
      <c r="H172" s="215" t="s">
        <v>971</v>
      </c>
      <c r="I172" s="206"/>
    </row>
    <row r="173" spans="1:9" x14ac:dyDescent="0.35">
      <c r="A173" s="307"/>
      <c r="B173" s="214" t="s">
        <v>972</v>
      </c>
      <c r="C173" s="213" t="s">
        <v>352</v>
      </c>
      <c r="D173" s="214" t="s">
        <v>352</v>
      </c>
      <c r="E173" s="214" t="s">
        <v>973</v>
      </c>
      <c r="F173" s="214" t="s">
        <v>688</v>
      </c>
      <c r="G173" s="233" t="s">
        <v>719</v>
      </c>
      <c r="H173" s="234" t="s">
        <v>974</v>
      </c>
      <c r="I173" s="206"/>
    </row>
    <row r="174" spans="1:9" x14ac:dyDescent="0.35">
      <c r="A174" s="307"/>
      <c r="B174" s="312"/>
      <c r="C174" s="312"/>
      <c r="D174" s="312"/>
      <c r="E174" s="312"/>
      <c r="F174" s="312"/>
      <c r="G174" s="312"/>
      <c r="H174" s="312"/>
      <c r="I174" s="206"/>
    </row>
    <row r="175" spans="1:9" x14ac:dyDescent="0.35">
      <c r="A175" s="307"/>
      <c r="B175" s="296" t="s">
        <v>975</v>
      </c>
      <c r="C175" s="293" t="s">
        <v>691</v>
      </c>
      <c r="D175" s="296" t="s">
        <v>696</v>
      </c>
      <c r="E175" s="296" t="s">
        <v>955</v>
      </c>
      <c r="F175" s="226" t="s">
        <v>976</v>
      </c>
      <c r="G175" s="226" t="s">
        <v>254</v>
      </c>
      <c r="H175" s="228" t="s">
        <v>977</v>
      </c>
      <c r="I175" s="206"/>
    </row>
    <row r="176" spans="1:9" ht="29" x14ac:dyDescent="0.35">
      <c r="A176" s="307"/>
      <c r="B176" s="297"/>
      <c r="C176" s="295"/>
      <c r="D176" s="297"/>
      <c r="E176" s="297"/>
      <c r="F176" s="214" t="s">
        <v>978</v>
      </c>
      <c r="G176" s="226" t="s">
        <v>254</v>
      </c>
      <c r="H176" s="228" t="s">
        <v>977</v>
      </c>
      <c r="I176" s="206"/>
    </row>
    <row r="177" spans="1:9" ht="29" x14ac:dyDescent="0.35">
      <c r="A177" s="307"/>
      <c r="B177" s="298"/>
      <c r="C177" s="294"/>
      <c r="D177" s="298"/>
      <c r="E177" s="298"/>
      <c r="F177" s="214" t="s">
        <v>979</v>
      </c>
      <c r="G177" s="226" t="s">
        <v>254</v>
      </c>
      <c r="H177" s="228" t="s">
        <v>977</v>
      </c>
      <c r="I177" s="206"/>
    </row>
    <row r="178" spans="1:9" x14ac:dyDescent="0.35">
      <c r="A178" s="307"/>
      <c r="B178" s="214" t="s">
        <v>980</v>
      </c>
      <c r="C178" s="213" t="s">
        <v>352</v>
      </c>
      <c r="D178" s="214" t="s">
        <v>696</v>
      </c>
      <c r="E178" s="214" t="s">
        <v>955</v>
      </c>
      <c r="F178" s="214" t="s">
        <v>897</v>
      </c>
      <c r="G178" s="214" t="s">
        <v>719</v>
      </c>
      <c r="H178" s="215" t="s">
        <v>981</v>
      </c>
      <c r="I178" s="206"/>
    </row>
    <row r="179" spans="1:9" x14ac:dyDescent="0.35">
      <c r="A179" s="307"/>
      <c r="B179" s="214" t="s">
        <v>982</v>
      </c>
      <c r="C179" s="213" t="s">
        <v>352</v>
      </c>
      <c r="D179" s="214" t="s">
        <v>696</v>
      </c>
      <c r="E179" s="214" t="s">
        <v>955</v>
      </c>
      <c r="F179" s="214" t="s">
        <v>352</v>
      </c>
      <c r="G179" s="214" t="s">
        <v>926</v>
      </c>
      <c r="H179" s="215" t="s">
        <v>983</v>
      </c>
      <c r="I179" s="206"/>
    </row>
    <row r="180" spans="1:9" x14ac:dyDescent="0.35">
      <c r="A180" s="307"/>
      <c r="B180" s="214" t="s">
        <v>984</v>
      </c>
      <c r="C180" s="213" t="s">
        <v>717</v>
      </c>
      <c r="D180" s="214" t="s">
        <v>696</v>
      </c>
      <c r="E180" s="214" t="s">
        <v>955</v>
      </c>
      <c r="F180" s="214" t="s">
        <v>352</v>
      </c>
      <c r="G180" s="214" t="s">
        <v>926</v>
      </c>
      <c r="H180" s="215" t="s">
        <v>985</v>
      </c>
      <c r="I180" s="206"/>
    </row>
    <row r="181" spans="1:9" ht="43.5" x14ac:dyDescent="0.35">
      <c r="A181" s="307"/>
      <c r="B181" s="214" t="s">
        <v>986</v>
      </c>
      <c r="C181" s="213" t="s">
        <v>717</v>
      </c>
      <c r="D181" s="214" t="s">
        <v>696</v>
      </c>
      <c r="E181" s="214" t="s">
        <v>955</v>
      </c>
      <c r="F181" s="214" t="s">
        <v>352</v>
      </c>
      <c r="G181" s="214" t="s">
        <v>725</v>
      </c>
      <c r="H181" s="215" t="s">
        <v>987</v>
      </c>
      <c r="I181" s="206"/>
    </row>
    <row r="182" spans="1:9" ht="58" x14ac:dyDescent="0.35">
      <c r="A182" s="307"/>
      <c r="B182" s="296" t="s">
        <v>986</v>
      </c>
      <c r="C182" s="293" t="s">
        <v>691</v>
      </c>
      <c r="D182" s="296" t="s">
        <v>696</v>
      </c>
      <c r="E182" s="296" t="s">
        <v>955</v>
      </c>
      <c r="F182" s="296" t="s">
        <v>352</v>
      </c>
      <c r="G182" s="214" t="s">
        <v>725</v>
      </c>
      <c r="H182" s="215" t="s">
        <v>988</v>
      </c>
      <c r="I182" s="206"/>
    </row>
    <row r="183" spans="1:9" x14ac:dyDescent="0.35">
      <c r="A183" s="307"/>
      <c r="B183" s="298"/>
      <c r="C183" s="294"/>
      <c r="D183" s="298"/>
      <c r="E183" s="298"/>
      <c r="F183" s="298"/>
      <c r="G183" s="214" t="s">
        <v>861</v>
      </c>
      <c r="H183" s="215" t="s">
        <v>989</v>
      </c>
      <c r="I183" s="206"/>
    </row>
    <row r="184" spans="1:9" ht="29" x14ac:dyDescent="0.35">
      <c r="A184" s="307"/>
      <c r="B184" s="296" t="s">
        <v>990</v>
      </c>
      <c r="C184" s="213" t="s">
        <v>717</v>
      </c>
      <c r="D184" s="214" t="s">
        <v>696</v>
      </c>
      <c r="E184" s="214" t="s">
        <v>955</v>
      </c>
      <c r="F184" s="214" t="s">
        <v>352</v>
      </c>
      <c r="G184" s="214" t="s">
        <v>719</v>
      </c>
      <c r="H184" s="215" t="s">
        <v>991</v>
      </c>
      <c r="I184" s="206"/>
    </row>
    <row r="185" spans="1:9" ht="29" x14ac:dyDescent="0.35">
      <c r="A185" s="307"/>
      <c r="B185" s="298"/>
      <c r="C185" s="213" t="s">
        <v>691</v>
      </c>
      <c r="D185" s="214" t="s">
        <v>696</v>
      </c>
      <c r="E185" s="214" t="s">
        <v>955</v>
      </c>
      <c r="F185" s="214" t="s">
        <v>352</v>
      </c>
      <c r="G185" s="214" t="s">
        <v>719</v>
      </c>
      <c r="H185" s="215" t="s">
        <v>992</v>
      </c>
      <c r="I185" s="206"/>
    </row>
    <row r="186" spans="1:9" x14ac:dyDescent="0.35">
      <c r="A186" s="307"/>
      <c r="B186" s="312"/>
      <c r="C186" s="312"/>
      <c r="D186" s="312"/>
      <c r="E186" s="312"/>
      <c r="F186" s="312"/>
      <c r="G186" s="312"/>
      <c r="H186" s="312"/>
      <c r="I186" s="206"/>
    </row>
    <row r="187" spans="1:9" ht="29" x14ac:dyDescent="0.35">
      <c r="A187" s="307"/>
      <c r="B187" s="296" t="s">
        <v>993</v>
      </c>
      <c r="C187" s="293" t="s">
        <v>352</v>
      </c>
      <c r="D187" s="296" t="s">
        <v>780</v>
      </c>
      <c r="E187" s="296" t="s">
        <v>955</v>
      </c>
      <c r="F187" s="296" t="s">
        <v>352</v>
      </c>
      <c r="G187" s="296" t="s">
        <v>725</v>
      </c>
      <c r="H187" s="215" t="s">
        <v>994</v>
      </c>
      <c r="I187" s="206"/>
    </row>
    <row r="188" spans="1:9" ht="29" x14ac:dyDescent="0.35">
      <c r="A188" s="307"/>
      <c r="B188" s="298"/>
      <c r="C188" s="294"/>
      <c r="D188" s="298"/>
      <c r="E188" s="298"/>
      <c r="F188" s="298"/>
      <c r="G188" s="298"/>
      <c r="H188" s="215" t="s">
        <v>995</v>
      </c>
      <c r="I188" s="206"/>
    </row>
    <row r="189" spans="1:9" x14ac:dyDescent="0.35">
      <c r="A189" s="288"/>
      <c r="B189" s="289"/>
      <c r="C189" s="289"/>
      <c r="D189" s="289"/>
      <c r="E189" s="289"/>
      <c r="F189" s="289"/>
      <c r="G189" s="289"/>
      <c r="H189" s="289"/>
      <c r="I189" s="206"/>
    </row>
    <row r="190" spans="1:9" x14ac:dyDescent="0.35">
      <c r="A190" s="315" t="s">
        <v>996</v>
      </c>
      <c r="B190" s="213" t="s">
        <v>997</v>
      </c>
      <c r="C190" s="213" t="s">
        <v>352</v>
      </c>
      <c r="D190" s="214" t="s">
        <v>694</v>
      </c>
      <c r="E190" s="214" t="s">
        <v>998</v>
      </c>
      <c r="F190" s="214" t="s">
        <v>352</v>
      </c>
      <c r="G190" s="214" t="s">
        <v>996</v>
      </c>
      <c r="H190" s="215" t="s">
        <v>999</v>
      </c>
      <c r="I190" s="206"/>
    </row>
    <row r="191" spans="1:9" x14ac:dyDescent="0.35">
      <c r="A191" s="316"/>
      <c r="B191" s="296" t="s">
        <v>363</v>
      </c>
      <c r="C191" s="293" t="s">
        <v>352</v>
      </c>
      <c r="D191" s="296" t="s">
        <v>352</v>
      </c>
      <c r="E191" s="296" t="s">
        <v>352</v>
      </c>
      <c r="F191" s="296" t="s">
        <v>352</v>
      </c>
      <c r="G191" s="296" t="s">
        <v>996</v>
      </c>
      <c r="H191" s="215" t="s">
        <v>1000</v>
      </c>
      <c r="I191" s="206"/>
    </row>
    <row r="192" spans="1:9" x14ac:dyDescent="0.35">
      <c r="A192" s="316"/>
      <c r="B192" s="298"/>
      <c r="C192" s="294"/>
      <c r="D192" s="298"/>
      <c r="E192" s="298"/>
      <c r="F192" s="298"/>
      <c r="G192" s="298"/>
      <c r="H192" s="215" t="s">
        <v>1001</v>
      </c>
      <c r="I192" s="206"/>
    </row>
    <row r="193" spans="1:9" x14ac:dyDescent="0.35">
      <c r="A193" s="316"/>
      <c r="B193" s="296" t="s">
        <v>432</v>
      </c>
      <c r="C193" s="293" t="s">
        <v>352</v>
      </c>
      <c r="D193" s="296" t="s">
        <v>352</v>
      </c>
      <c r="E193" s="296" t="s">
        <v>352</v>
      </c>
      <c r="F193" s="296" t="s">
        <v>352</v>
      </c>
      <c r="G193" s="296" t="s">
        <v>996</v>
      </c>
      <c r="H193" s="215" t="s">
        <v>1002</v>
      </c>
      <c r="I193" s="206"/>
    </row>
    <row r="194" spans="1:9" x14ac:dyDescent="0.35">
      <c r="A194" s="316"/>
      <c r="B194" s="298"/>
      <c r="C194" s="294"/>
      <c r="D194" s="298"/>
      <c r="E194" s="298"/>
      <c r="F194" s="298"/>
      <c r="G194" s="298"/>
      <c r="H194" s="215" t="s">
        <v>1003</v>
      </c>
      <c r="I194" s="206"/>
    </row>
    <row r="195" spans="1:9" ht="29" x14ac:dyDescent="0.35">
      <c r="A195" s="316"/>
      <c r="B195" s="214" t="s">
        <v>1004</v>
      </c>
      <c r="C195" s="213" t="s">
        <v>352</v>
      </c>
      <c r="D195" s="214" t="s">
        <v>352</v>
      </c>
      <c r="E195" s="214" t="s">
        <v>352</v>
      </c>
      <c r="F195" s="214" t="s">
        <v>352</v>
      </c>
      <c r="G195" s="214" t="s">
        <v>996</v>
      </c>
      <c r="H195" s="210" t="s">
        <v>373</v>
      </c>
      <c r="I195" s="206"/>
    </row>
    <row r="196" spans="1:9" ht="58" x14ac:dyDescent="0.35">
      <c r="A196" s="316"/>
      <c r="B196" s="214" t="s">
        <v>1005</v>
      </c>
      <c r="C196" s="213" t="s">
        <v>352</v>
      </c>
      <c r="D196" s="214" t="s">
        <v>352</v>
      </c>
      <c r="E196" s="214" t="s">
        <v>1006</v>
      </c>
      <c r="F196" s="214" t="s">
        <v>352</v>
      </c>
      <c r="G196" s="214" t="s">
        <v>996</v>
      </c>
      <c r="H196" s="210" t="s">
        <v>376</v>
      </c>
      <c r="I196" s="206"/>
    </row>
    <row r="197" spans="1:9" x14ac:dyDescent="0.35">
      <c r="A197" s="316"/>
      <c r="B197" s="296" t="s">
        <v>378</v>
      </c>
      <c r="C197" s="293" t="s">
        <v>352</v>
      </c>
      <c r="D197" s="296" t="s">
        <v>352</v>
      </c>
      <c r="E197" s="296" t="s">
        <v>352</v>
      </c>
      <c r="F197" s="296" t="s">
        <v>352</v>
      </c>
      <c r="G197" s="296" t="s">
        <v>996</v>
      </c>
      <c r="H197" s="210" t="s">
        <v>380</v>
      </c>
      <c r="I197" s="206"/>
    </row>
    <row r="198" spans="1:9" x14ac:dyDescent="0.35">
      <c r="A198" s="316"/>
      <c r="B198" s="297"/>
      <c r="C198" s="295"/>
      <c r="D198" s="297"/>
      <c r="E198" s="297"/>
      <c r="F198" s="297"/>
      <c r="G198" s="297"/>
      <c r="H198" s="210" t="s">
        <v>381</v>
      </c>
      <c r="I198" s="206"/>
    </row>
    <row r="199" spans="1:9" x14ac:dyDescent="0.35">
      <c r="A199" s="316"/>
      <c r="B199" s="298"/>
      <c r="C199" s="294"/>
      <c r="D199" s="298"/>
      <c r="E199" s="298"/>
      <c r="F199" s="298"/>
      <c r="G199" s="298"/>
      <c r="H199" s="210" t="s">
        <v>382</v>
      </c>
      <c r="I199" s="206"/>
    </row>
    <row r="200" spans="1:9" x14ac:dyDescent="0.35">
      <c r="A200" s="316"/>
      <c r="B200" s="214" t="s">
        <v>383</v>
      </c>
      <c r="C200" s="213" t="s">
        <v>352</v>
      </c>
      <c r="D200" s="214" t="s">
        <v>352</v>
      </c>
      <c r="E200" s="214" t="s">
        <v>352</v>
      </c>
      <c r="F200" s="214" t="s">
        <v>352</v>
      </c>
      <c r="G200" s="214" t="s">
        <v>996</v>
      </c>
      <c r="H200" s="210" t="s">
        <v>385</v>
      </c>
      <c r="I200" s="206"/>
    </row>
    <row r="201" spans="1:9" ht="87" x14ac:dyDescent="0.35">
      <c r="A201" s="316"/>
      <c r="B201" s="214" t="s">
        <v>1007</v>
      </c>
      <c r="C201" s="213" t="s">
        <v>352</v>
      </c>
      <c r="D201" s="214" t="s">
        <v>352</v>
      </c>
      <c r="E201" s="214" t="s">
        <v>352</v>
      </c>
      <c r="F201" s="214" t="s">
        <v>352</v>
      </c>
      <c r="G201" s="214" t="s">
        <v>996</v>
      </c>
      <c r="H201" s="210" t="s">
        <v>388</v>
      </c>
      <c r="I201" s="206"/>
    </row>
    <row r="202" spans="1:9" ht="72.5" x14ac:dyDescent="0.35">
      <c r="A202" s="316"/>
      <c r="B202" s="214" t="s">
        <v>389</v>
      </c>
      <c r="C202" s="213" t="s">
        <v>352</v>
      </c>
      <c r="D202" s="214" t="s">
        <v>352</v>
      </c>
      <c r="E202" s="214" t="s">
        <v>352</v>
      </c>
      <c r="F202" s="214" t="s">
        <v>352</v>
      </c>
      <c r="G202" s="214" t="s">
        <v>996</v>
      </c>
      <c r="H202" s="210" t="s">
        <v>391</v>
      </c>
      <c r="I202" s="206"/>
    </row>
    <row r="203" spans="1:9" ht="43.5" x14ac:dyDescent="0.35">
      <c r="A203" s="316"/>
      <c r="B203" s="214" t="s">
        <v>1008</v>
      </c>
      <c r="C203" s="213" t="s">
        <v>352</v>
      </c>
      <c r="D203" s="214" t="s">
        <v>352</v>
      </c>
      <c r="E203" s="214" t="s">
        <v>352</v>
      </c>
      <c r="F203" s="214" t="s">
        <v>352</v>
      </c>
      <c r="G203" s="214" t="s">
        <v>996</v>
      </c>
      <c r="H203" s="210" t="s">
        <v>393</v>
      </c>
      <c r="I203" s="206"/>
    </row>
    <row r="204" spans="1:9" ht="29" x14ac:dyDescent="0.35">
      <c r="A204" s="316"/>
      <c r="B204" s="214" t="s">
        <v>1009</v>
      </c>
      <c r="C204" s="213" t="s">
        <v>352</v>
      </c>
      <c r="D204" s="214" t="s">
        <v>352</v>
      </c>
      <c r="E204" s="214" t="s">
        <v>352</v>
      </c>
      <c r="F204" s="214" t="s">
        <v>352</v>
      </c>
      <c r="G204" s="214" t="s">
        <v>996</v>
      </c>
      <c r="H204" s="210" t="s">
        <v>396</v>
      </c>
      <c r="I204" s="206"/>
    </row>
    <row r="205" spans="1:9" ht="29.5" thickBot="1" x14ac:dyDescent="0.4">
      <c r="A205" s="317"/>
      <c r="B205" s="235" t="s">
        <v>1010</v>
      </c>
      <c r="C205" s="236" t="s">
        <v>352</v>
      </c>
      <c r="D205" s="235" t="s">
        <v>352</v>
      </c>
      <c r="E205" s="235" t="s">
        <v>756</v>
      </c>
      <c r="F205" s="235" t="s">
        <v>352</v>
      </c>
      <c r="G205" s="235" t="s">
        <v>996</v>
      </c>
      <c r="H205" s="237" t="s">
        <v>1011</v>
      </c>
      <c r="I205" s="238"/>
    </row>
  </sheetData>
  <mergeCells count="210">
    <mergeCell ref="D197:D199"/>
    <mergeCell ref="E197:E199"/>
    <mergeCell ref="F197:F199"/>
    <mergeCell ref="G197:G199"/>
    <mergeCell ref="A189:H189"/>
    <mergeCell ref="A190:A205"/>
    <mergeCell ref="B191:B192"/>
    <mergeCell ref="C191:C192"/>
    <mergeCell ref="D191:D192"/>
    <mergeCell ref="E191:E192"/>
    <mergeCell ref="F191:F192"/>
    <mergeCell ref="G191:G192"/>
    <mergeCell ref="B193:B194"/>
    <mergeCell ref="C193:C194"/>
    <mergeCell ref="D193:D194"/>
    <mergeCell ref="E193:E194"/>
    <mergeCell ref="F193:F194"/>
    <mergeCell ref="G193:G194"/>
    <mergeCell ref="B197:B199"/>
    <mergeCell ref="C197:C199"/>
    <mergeCell ref="F163:F171"/>
    <mergeCell ref="B174:H174"/>
    <mergeCell ref="B175:B177"/>
    <mergeCell ref="C175:C177"/>
    <mergeCell ref="D175:D177"/>
    <mergeCell ref="E175:E177"/>
    <mergeCell ref="A162:A188"/>
    <mergeCell ref="B163:B171"/>
    <mergeCell ref="C163:C171"/>
    <mergeCell ref="D163:D171"/>
    <mergeCell ref="E163:E171"/>
    <mergeCell ref="B182:B183"/>
    <mergeCell ref="C182:C183"/>
    <mergeCell ref="D182:D183"/>
    <mergeCell ref="E182:E183"/>
    <mergeCell ref="F182:F183"/>
    <mergeCell ref="B184:B185"/>
    <mergeCell ref="B186:H186"/>
    <mergeCell ref="B187:B188"/>
    <mergeCell ref="C187:C188"/>
    <mergeCell ref="D187:D188"/>
    <mergeCell ref="E187:E188"/>
    <mergeCell ref="F187:F188"/>
    <mergeCell ref="G187:G188"/>
    <mergeCell ref="E139:E149"/>
    <mergeCell ref="F139:F149"/>
    <mergeCell ref="G139:G149"/>
    <mergeCell ref="B150:B151"/>
    <mergeCell ref="C150:C151"/>
    <mergeCell ref="D150:D151"/>
    <mergeCell ref="B135:H135"/>
    <mergeCell ref="B136:B138"/>
    <mergeCell ref="C136:C138"/>
    <mergeCell ref="D136:D138"/>
    <mergeCell ref="E136:E138"/>
    <mergeCell ref="F136:F138"/>
    <mergeCell ref="G136:G137"/>
    <mergeCell ref="B129:B130"/>
    <mergeCell ref="C129:C130"/>
    <mergeCell ref="D129:D130"/>
    <mergeCell ref="E129:E130"/>
    <mergeCell ref="B131:B132"/>
    <mergeCell ref="C131:C132"/>
    <mergeCell ref="D131:D132"/>
    <mergeCell ref="E131:E132"/>
    <mergeCell ref="F116:F121"/>
    <mergeCell ref="G116:G121"/>
    <mergeCell ref="B122:H122"/>
    <mergeCell ref="B124:B126"/>
    <mergeCell ref="C124:C126"/>
    <mergeCell ref="D124:D126"/>
    <mergeCell ref="E124:E126"/>
    <mergeCell ref="B114:B115"/>
    <mergeCell ref="C114:C115"/>
    <mergeCell ref="D114:D115"/>
    <mergeCell ref="E114:E115"/>
    <mergeCell ref="B116:B121"/>
    <mergeCell ref="C116:C121"/>
    <mergeCell ref="D116:D121"/>
    <mergeCell ref="E116:E121"/>
    <mergeCell ref="F104:F107"/>
    <mergeCell ref="B110:B111"/>
    <mergeCell ref="C110:C111"/>
    <mergeCell ref="D110:D111"/>
    <mergeCell ref="E110:E111"/>
    <mergeCell ref="F110:F111"/>
    <mergeCell ref="B100:B101"/>
    <mergeCell ref="C100:C101"/>
    <mergeCell ref="D100:D101"/>
    <mergeCell ref="E100:E101"/>
    <mergeCell ref="B104:B109"/>
    <mergeCell ref="C104:C108"/>
    <mergeCell ref="D104:D108"/>
    <mergeCell ref="E104:E107"/>
    <mergeCell ref="B98:B99"/>
    <mergeCell ref="C98:C99"/>
    <mergeCell ref="D98:D99"/>
    <mergeCell ref="E98:E99"/>
    <mergeCell ref="F98:F99"/>
    <mergeCell ref="B96:B97"/>
    <mergeCell ref="C96:C97"/>
    <mergeCell ref="D96:D97"/>
    <mergeCell ref="E96:E97"/>
    <mergeCell ref="F96:F97"/>
    <mergeCell ref="G86:G90"/>
    <mergeCell ref="B91:H91"/>
    <mergeCell ref="B93:B95"/>
    <mergeCell ref="C93:C95"/>
    <mergeCell ref="D93:D95"/>
    <mergeCell ref="E93:E95"/>
    <mergeCell ref="D84:D85"/>
    <mergeCell ref="E84:E85"/>
    <mergeCell ref="F84:F85"/>
    <mergeCell ref="B86:B90"/>
    <mergeCell ref="C86:C90"/>
    <mergeCell ref="D86:D90"/>
    <mergeCell ref="E86:E90"/>
    <mergeCell ref="F86:F90"/>
    <mergeCell ref="E75:E77"/>
    <mergeCell ref="F75:F77"/>
    <mergeCell ref="G75:G77"/>
    <mergeCell ref="B79:B82"/>
    <mergeCell ref="C79:C82"/>
    <mergeCell ref="D79:D82"/>
    <mergeCell ref="E79:E82"/>
    <mergeCell ref="F79:F80"/>
    <mergeCell ref="G79:G80"/>
    <mergeCell ref="F81:F82"/>
    <mergeCell ref="G81:G82"/>
    <mergeCell ref="C70:C71"/>
    <mergeCell ref="D70:D71"/>
    <mergeCell ref="E70:E71"/>
    <mergeCell ref="B73:H73"/>
    <mergeCell ref="F61:F65"/>
    <mergeCell ref="G61:G65"/>
    <mergeCell ref="B67:B69"/>
    <mergeCell ref="C67:C69"/>
    <mergeCell ref="D67:D69"/>
    <mergeCell ref="E67:E69"/>
    <mergeCell ref="F67:F69"/>
    <mergeCell ref="G67:G69"/>
    <mergeCell ref="A43:H43"/>
    <mergeCell ref="A44:A160"/>
    <mergeCell ref="B47:B52"/>
    <mergeCell ref="C47:C52"/>
    <mergeCell ref="D47:D52"/>
    <mergeCell ref="E47:E52"/>
    <mergeCell ref="F47:F52"/>
    <mergeCell ref="G47:G52"/>
    <mergeCell ref="B54:B58"/>
    <mergeCell ref="C54:C58"/>
    <mergeCell ref="D54:D58"/>
    <mergeCell ref="E54:E58"/>
    <mergeCell ref="B61:B65"/>
    <mergeCell ref="C61:C65"/>
    <mergeCell ref="D61:D65"/>
    <mergeCell ref="E61:E65"/>
    <mergeCell ref="B152:H152"/>
    <mergeCell ref="B155:B160"/>
    <mergeCell ref="C155:C160"/>
    <mergeCell ref="D155:D160"/>
    <mergeCell ref="E155:E160"/>
    <mergeCell ref="F155:F160"/>
    <mergeCell ref="G155:G160"/>
    <mergeCell ref="B70:B71"/>
    <mergeCell ref="B36:B39"/>
    <mergeCell ref="C36:C39"/>
    <mergeCell ref="D36:D39"/>
    <mergeCell ref="E36:E38"/>
    <mergeCell ref="F36:F38"/>
    <mergeCell ref="G36:G38"/>
    <mergeCell ref="B27:B28"/>
    <mergeCell ref="C27:C28"/>
    <mergeCell ref="D27:D28"/>
    <mergeCell ref="E27:E28"/>
    <mergeCell ref="F27:F28"/>
    <mergeCell ref="B25:B26"/>
    <mergeCell ref="C25:C26"/>
    <mergeCell ref="D25:D26"/>
    <mergeCell ref="E25:E26"/>
    <mergeCell ref="F25:F26"/>
    <mergeCell ref="G25:G26"/>
    <mergeCell ref="G27:G28"/>
    <mergeCell ref="B31:B32"/>
    <mergeCell ref="C31:C32"/>
    <mergeCell ref="D31:D32"/>
    <mergeCell ref="A161:H161"/>
    <mergeCell ref="A2:A42"/>
    <mergeCell ref="B84:B85"/>
    <mergeCell ref="B75:B78"/>
    <mergeCell ref="C75:C78"/>
    <mergeCell ref="D75:D78"/>
    <mergeCell ref="C84:C85"/>
    <mergeCell ref="B139:B149"/>
    <mergeCell ref="C139:C149"/>
    <mergeCell ref="D139:D149"/>
    <mergeCell ref="B15:B19"/>
    <mergeCell ref="C15:C16"/>
    <mergeCell ref="C17:C19"/>
    <mergeCell ref="B20:B21"/>
    <mergeCell ref="C20:C21"/>
    <mergeCell ref="B2:B8"/>
    <mergeCell ref="C3:C8"/>
    <mergeCell ref="D5:D8"/>
    <mergeCell ref="B9:B13"/>
    <mergeCell ref="C9:C13"/>
    <mergeCell ref="D20:D21"/>
    <mergeCell ref="E20:E21"/>
    <mergeCell ref="F20:F21"/>
    <mergeCell ref="G20:G21"/>
  </mergeCells>
  <conditionalFormatting sqref="I1:I1048576">
    <cfRule type="containsBlanks" dxfId="6" priority="1">
      <formula>LEN(TRIM(I1))=0</formula>
    </cfRule>
    <cfRule type="containsText" dxfId="5" priority="2" operator="containsText" text="NA">
      <formula>NOT(ISERROR(SEARCH("NA",I1)))</formula>
    </cfRule>
    <cfRule type="containsText" dxfId="4" priority="3" operator="containsText" text="Waived">
      <formula>NOT(ISERROR(SEARCH("Waived",I1)))</formula>
    </cfRule>
    <cfRule type="containsText" dxfId="3" priority="4" operator="containsText" text="Fail">
      <formula>NOT(ISERROR(SEARCH("Fail",I1)))</formula>
    </cfRule>
    <cfRule type="containsText" dxfId="2" priority="5" operator="containsText" text="Pass">
      <formula>NOT(ISERROR(SEARCH("Pass",I1)))</formula>
    </cfRule>
  </conditionalFormatting>
  <dataValidations count="1">
    <dataValidation type="list" allowBlank="1" showInputMessage="1" showErrorMessage="1" sqref="I1:I1048576" xr:uid="{00000000-0002-0000-1400-000000000000}">
      <formula1>"Pass, Fail, Waived, NA"</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E16"/>
  <sheetViews>
    <sheetView workbookViewId="0">
      <selection activeCell="E15" sqref="E15"/>
    </sheetView>
  </sheetViews>
  <sheetFormatPr defaultRowHeight="14.5" x14ac:dyDescent="0.35"/>
  <cols>
    <col min="1" max="1" width="18.1796875" bestFit="1" customWidth="1"/>
    <col min="2" max="2" width="24.453125" bestFit="1" customWidth="1"/>
    <col min="3" max="3" width="103.6328125" bestFit="1" customWidth="1"/>
    <col min="4" max="4" width="14" bestFit="1" customWidth="1"/>
    <col min="5" max="5" width="8" bestFit="1" customWidth="1"/>
  </cols>
  <sheetData>
    <row r="1" spans="1:5" ht="15" thickBot="1" x14ac:dyDescent="0.4">
      <c r="A1" s="318" t="s">
        <v>357</v>
      </c>
      <c r="B1" s="319"/>
      <c r="C1" s="319"/>
      <c r="D1" s="319"/>
      <c r="E1" s="320"/>
    </row>
    <row r="2" spans="1:5" ht="15" thickBot="1" x14ac:dyDescent="0.4">
      <c r="A2" s="74" t="s">
        <v>358</v>
      </c>
      <c r="B2" s="75" t="s">
        <v>359</v>
      </c>
      <c r="C2" s="76" t="s">
        <v>360</v>
      </c>
      <c r="D2" s="75" t="s">
        <v>361</v>
      </c>
      <c r="E2" s="77" t="s">
        <v>362</v>
      </c>
    </row>
    <row r="3" spans="1:5" x14ac:dyDescent="0.35">
      <c r="A3" s="78" t="s">
        <v>363</v>
      </c>
      <c r="B3" s="79" t="s">
        <v>364</v>
      </c>
      <c r="C3" s="80" t="s">
        <v>365</v>
      </c>
      <c r="D3" s="69" t="s">
        <v>366</v>
      </c>
      <c r="E3" s="71" t="s">
        <v>269</v>
      </c>
    </row>
    <row r="4" spans="1:5" x14ac:dyDescent="0.35">
      <c r="A4" s="321" t="s">
        <v>367</v>
      </c>
      <c r="B4" s="323" t="s">
        <v>368</v>
      </c>
      <c r="C4" s="68" t="s">
        <v>369</v>
      </c>
      <c r="D4" s="67" t="s">
        <v>366</v>
      </c>
      <c r="E4" s="72" t="s">
        <v>269</v>
      </c>
    </row>
    <row r="5" spans="1:5" x14ac:dyDescent="0.35">
      <c r="A5" s="322"/>
      <c r="B5" s="324"/>
      <c r="C5" s="68" t="s">
        <v>370</v>
      </c>
      <c r="D5" s="67" t="s">
        <v>366</v>
      </c>
      <c r="E5" s="72" t="s">
        <v>269</v>
      </c>
    </row>
    <row r="6" spans="1:5" ht="29" x14ac:dyDescent="0.35">
      <c r="A6" s="81" t="s">
        <v>371</v>
      </c>
      <c r="B6" s="70" t="s">
        <v>372</v>
      </c>
      <c r="C6" s="68" t="s">
        <v>373</v>
      </c>
      <c r="D6" s="67" t="s">
        <v>366</v>
      </c>
      <c r="E6" s="72" t="s">
        <v>269</v>
      </c>
    </row>
    <row r="7" spans="1:5" ht="58" x14ac:dyDescent="0.35">
      <c r="A7" s="81" t="s">
        <v>374</v>
      </c>
      <c r="B7" s="70" t="s">
        <v>375</v>
      </c>
      <c r="C7" s="82" t="s">
        <v>376</v>
      </c>
      <c r="D7" s="67" t="s">
        <v>377</v>
      </c>
      <c r="E7" s="72" t="s">
        <v>408</v>
      </c>
    </row>
    <row r="8" spans="1:5" x14ac:dyDescent="0.35">
      <c r="A8" s="321" t="s">
        <v>378</v>
      </c>
      <c r="B8" s="323" t="s">
        <v>379</v>
      </c>
      <c r="C8" s="68" t="s">
        <v>380</v>
      </c>
      <c r="D8" s="67" t="s">
        <v>366</v>
      </c>
      <c r="E8" s="72" t="s">
        <v>269</v>
      </c>
    </row>
    <row r="9" spans="1:5" x14ac:dyDescent="0.35">
      <c r="A9" s="325"/>
      <c r="B9" s="326"/>
      <c r="C9" s="68" t="s">
        <v>381</v>
      </c>
      <c r="D9" s="67" t="s">
        <v>366</v>
      </c>
      <c r="E9" s="72" t="s">
        <v>269</v>
      </c>
    </row>
    <row r="10" spans="1:5" x14ac:dyDescent="0.35">
      <c r="A10" s="322"/>
      <c r="B10" s="324"/>
      <c r="C10" s="68" t="s">
        <v>382</v>
      </c>
      <c r="D10" s="67" t="s">
        <v>366</v>
      </c>
      <c r="E10" s="72" t="s">
        <v>269</v>
      </c>
    </row>
    <row r="11" spans="1:5" x14ac:dyDescent="0.35">
      <c r="A11" s="81" t="s">
        <v>383</v>
      </c>
      <c r="B11" s="65" t="s">
        <v>384</v>
      </c>
      <c r="C11" s="68" t="s">
        <v>385</v>
      </c>
      <c r="D11" s="67" t="s">
        <v>366</v>
      </c>
      <c r="E11" s="72" t="s">
        <v>269</v>
      </c>
    </row>
    <row r="12" spans="1:5" ht="87" x14ac:dyDescent="0.35">
      <c r="A12" s="81" t="s">
        <v>386</v>
      </c>
      <c r="B12" s="65" t="s">
        <v>387</v>
      </c>
      <c r="C12" s="82" t="s">
        <v>388</v>
      </c>
      <c r="D12" s="67" t="s">
        <v>366</v>
      </c>
      <c r="E12" s="72" t="s">
        <v>269</v>
      </c>
    </row>
    <row r="13" spans="1:5" ht="72.5" x14ac:dyDescent="0.35">
      <c r="A13" s="81" t="s">
        <v>389</v>
      </c>
      <c r="B13" s="70" t="s">
        <v>390</v>
      </c>
      <c r="C13" s="82" t="s">
        <v>391</v>
      </c>
      <c r="D13" s="67" t="s">
        <v>366</v>
      </c>
      <c r="E13" s="72" t="s">
        <v>268</v>
      </c>
    </row>
    <row r="14" spans="1:5" ht="43.5" x14ac:dyDescent="0.35">
      <c r="A14" s="81" t="s">
        <v>392</v>
      </c>
      <c r="B14" s="65" t="s">
        <v>364</v>
      </c>
      <c r="C14" s="82" t="s">
        <v>393</v>
      </c>
      <c r="D14" s="67" t="s">
        <v>366</v>
      </c>
      <c r="E14" s="72" t="s">
        <v>269</v>
      </c>
    </row>
    <row r="15" spans="1:5" ht="58.5" thickBot="1" x14ac:dyDescent="0.4">
      <c r="A15" s="83" t="s">
        <v>394</v>
      </c>
      <c r="B15" s="84" t="s">
        <v>395</v>
      </c>
      <c r="C15" s="85" t="s">
        <v>396</v>
      </c>
      <c r="D15" s="86" t="s">
        <v>397</v>
      </c>
      <c r="E15" s="73" t="s">
        <v>269</v>
      </c>
    </row>
    <row r="16" spans="1:5" ht="15" thickBot="1" x14ac:dyDescent="0.4">
      <c r="A16" s="87"/>
      <c r="B16" s="88" t="s">
        <v>398</v>
      </c>
      <c r="C16" s="89" t="str">
        <f>SUBSTITUTE(TRIM(CONCATENATE(C18," ",C19," ",C20," ",C21," ",C22," ",C23," ",C24," ",C25," ",C26," ",C27," ",C28," ",C29," ",C30))," ",", ")</f>
        <v/>
      </c>
      <c r="D16" s="90"/>
      <c r="E16" s="91"/>
    </row>
  </sheetData>
  <mergeCells count="5">
    <mergeCell ref="A1:E1"/>
    <mergeCell ref="A4:A5"/>
    <mergeCell ref="B4:B5"/>
    <mergeCell ref="A8:A10"/>
    <mergeCell ref="B8:B10"/>
  </mergeCells>
  <conditionalFormatting sqref="E2:E16">
    <cfRule type="containsText" dxfId="1" priority="1" operator="containsText" text="No">
      <formula>NOT(ISERROR(SEARCH("No",E2)))</formula>
    </cfRule>
    <cfRule type="containsText" dxfId="0" priority="2" operator="containsText" text="Yes">
      <formula>NOT(ISERROR(SEARCH("Yes",E2)))</formula>
    </cfRule>
  </conditionalFormatting>
  <dataValidations count="1">
    <dataValidation type="list" allowBlank="1" showInputMessage="1" showErrorMessage="1" sqref="E1:E16" xr:uid="{00000000-0002-0000-1500-000000000000}">
      <formula1>"Yes, No, NA"</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C9"/>
  <sheetViews>
    <sheetView workbookViewId="0">
      <selection activeCell="C15" sqref="C15"/>
    </sheetView>
  </sheetViews>
  <sheetFormatPr defaultRowHeight="14.5" x14ac:dyDescent="0.35"/>
  <cols>
    <col min="1" max="1" width="5.54296875" bestFit="1" customWidth="1"/>
    <col min="2" max="2" width="25.54296875" bestFit="1" customWidth="1"/>
    <col min="3" max="3" width="158.54296875" customWidth="1"/>
  </cols>
  <sheetData>
    <row r="1" spans="1:3" ht="15" thickBot="1" x14ac:dyDescent="0.4">
      <c r="A1" s="327" t="s">
        <v>485</v>
      </c>
      <c r="B1" s="328"/>
      <c r="C1" s="329"/>
    </row>
    <row r="2" spans="1:3" ht="15" thickBot="1" x14ac:dyDescent="0.4">
      <c r="A2" s="123" t="s">
        <v>400</v>
      </c>
      <c r="B2" s="66" t="s">
        <v>486</v>
      </c>
      <c r="C2" s="124" t="s">
        <v>487</v>
      </c>
    </row>
    <row r="3" spans="1:3" ht="29" x14ac:dyDescent="0.35">
      <c r="A3" s="330" t="s">
        <v>454</v>
      </c>
      <c r="B3" s="98" t="s">
        <v>488</v>
      </c>
      <c r="C3" s="125" t="s">
        <v>489</v>
      </c>
    </row>
    <row r="4" spans="1:3" ht="131" thickBot="1" x14ac:dyDescent="0.4">
      <c r="A4" s="331"/>
      <c r="B4" s="131" t="s">
        <v>490</v>
      </c>
      <c r="C4" s="129" t="s">
        <v>491</v>
      </c>
    </row>
    <row r="5" spans="1:3" ht="160" thickBot="1" x14ac:dyDescent="0.4">
      <c r="A5" s="133" t="s">
        <v>492</v>
      </c>
      <c r="B5" s="134" t="s">
        <v>493</v>
      </c>
      <c r="C5" s="135" t="s">
        <v>502</v>
      </c>
    </row>
    <row r="6" spans="1:3" x14ac:dyDescent="0.35">
      <c r="A6" s="332" t="s">
        <v>494</v>
      </c>
      <c r="B6" s="132" t="s">
        <v>355</v>
      </c>
      <c r="C6" s="130" t="s">
        <v>495</v>
      </c>
    </row>
    <row r="7" spans="1:3" ht="159.5" x14ac:dyDescent="0.35">
      <c r="A7" s="332"/>
      <c r="B7" s="127" t="s">
        <v>496</v>
      </c>
      <c r="C7" s="126" t="s">
        <v>504</v>
      </c>
    </row>
    <row r="8" spans="1:3" ht="174" x14ac:dyDescent="0.35">
      <c r="A8" s="332"/>
      <c r="B8" s="127" t="s">
        <v>497</v>
      </c>
      <c r="C8" s="126" t="s">
        <v>503</v>
      </c>
    </row>
    <row r="9" spans="1:3" ht="174.5" thickBot="1" x14ac:dyDescent="0.4">
      <c r="A9" s="331"/>
      <c r="B9" s="128" t="s">
        <v>498</v>
      </c>
      <c r="C9" s="129" t="s">
        <v>505</v>
      </c>
    </row>
  </sheetData>
  <mergeCells count="3">
    <mergeCell ref="A1:C1"/>
    <mergeCell ref="A3:A4"/>
    <mergeCell ref="A6:A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Instructions</vt:lpstr>
      <vt:lpstr>Overview</vt:lpstr>
      <vt:lpstr>Gantt</vt:lpstr>
      <vt:lpstr>Field Options</vt:lpstr>
      <vt:lpstr>Test Summary</vt:lpstr>
      <vt:lpstr>AMEX CT</vt:lpstr>
      <vt:lpstr>AMEX CTL</vt:lpstr>
      <vt:lpstr>AMEX QC</vt:lpstr>
      <vt:lpstr>Discover CT</vt:lpstr>
      <vt:lpstr>Discover CTL</vt:lpstr>
      <vt:lpstr>FD Superset</vt:lpstr>
      <vt:lpstr>MasterCard</vt:lpstr>
      <vt:lpstr>VISA CT</vt:lpstr>
      <vt:lpstr>VISA CTL</vt:lpstr>
      <vt:lpstr>VISA US Debit</vt:lpstr>
      <vt:lpstr>Clean run</vt:lpstr>
      <vt:lpstr>Interac</vt:lpstr>
      <vt:lpstr>DNA</vt:lpstr>
      <vt:lpstr>Action List</vt:lpstr>
      <vt:lpstr>Required Tags</vt:lpstr>
      <vt:lpstr>Manual Checks</vt:lpstr>
      <vt:lpstr>Receipt Checks</vt:lpstr>
      <vt:lpstr>Tag References</vt:lpstr>
      <vt:lpstr>'VISA US Debit'!_MailEndCompose</vt:lpstr>
    </vt:vector>
  </TitlesOfParts>
  <Company>Underwriters Laboratories (UL)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 Yilin</dc:creator>
  <cp:lastModifiedBy>Muthakana, Virendra</cp:lastModifiedBy>
  <cp:lastPrinted>2018-02-20T21:21:30Z</cp:lastPrinted>
  <dcterms:created xsi:type="dcterms:W3CDTF">2016-09-28T17:59:13Z</dcterms:created>
  <dcterms:modified xsi:type="dcterms:W3CDTF">2018-11-30T16:09:35Z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a62589d2-4e13-4828-87c4-1f5b3d1c4fcc</vt:lpwstr>
  </property>
</Properties>
</file>