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15832\Downloads\projects\AMEX Certpro Manual Checks\Certpro Proj Docs\Python\"/>
    </mc:Choice>
  </mc:AlternateContent>
  <xr:revisionPtr revIDLastSave="0" documentId="10_ncr:100000_{15161C29-AF1D-45EF-B841-A5B977E2D2B2}" xr6:coauthVersionLast="31" xr6:coauthVersionMax="31" xr10:uidLastSave="{00000000-0000-0000-0000-000000000000}"/>
  <bookViews>
    <workbookView xWindow="0" yWindow="0" windowWidth="8060" windowHeight="5280" activeTab="5" xr2:uid="{00000000-000D-0000-FFFF-FFFF00000000}"/>
  </bookViews>
  <sheets>
    <sheet name="Instructions" sheetId="23" r:id="rId1"/>
    <sheet name="Overview" sheetId="18" r:id="rId2"/>
    <sheet name="Gantt" sheetId="20" state="hidden" r:id="rId3"/>
    <sheet name="Test Summary" sheetId="1" r:id="rId4"/>
    <sheet name="Field Options" sheetId="19" state="hidden" r:id="rId5"/>
    <sheet name="AMEX CT" sheetId="16" r:id="rId6"/>
    <sheet name="AMEX CTL" sheetId="17" state="hidden" r:id="rId7"/>
    <sheet name="AMEX QC" sheetId="21" state="hidden" r:id="rId8"/>
    <sheet name="Discover CT" sheetId="4" r:id="rId9"/>
    <sheet name="Discover CTL" sheetId="14" state="hidden" r:id="rId10"/>
    <sheet name="FD Superset" sheetId="22" state="hidden" r:id="rId11"/>
    <sheet name="MasterCard" sheetId="15" r:id="rId12"/>
    <sheet name="VISA CT" sheetId="8" r:id="rId13"/>
    <sheet name="VISA CTL" sheetId="7" state="hidden" r:id="rId14"/>
    <sheet name="VISA US Debit" sheetId="9" r:id="rId15"/>
    <sheet name="Interac" sheetId="5" state="hidden" r:id="rId16"/>
    <sheet name="DNA" sheetId="3" state="hidden" r:id="rId17"/>
    <sheet name="Action List" sheetId="24" r:id="rId18"/>
    <sheet name="Manual checks" sheetId="25" r:id="rId19"/>
    <sheet name="Required Tags" sheetId="26" r:id="rId20"/>
    <sheet name="Tag References" sheetId="27" r:id="rId21"/>
    <sheet name="Receipt checks" sheetId="28" r:id="rId22"/>
  </sheets>
  <definedNames>
    <definedName name="_xlnm._FilterDatabase" localSheetId="3" hidden="1">'Test Summary'!$A$1:$E$13</definedName>
    <definedName name="_MailEndCompose" localSheetId="14">'VISA US Debit'!$F$1</definedName>
    <definedName name="BP">#REF!</definedName>
    <definedName name="Buypass">#REF!</definedName>
    <definedName name="_xlnm.Criteria" localSheetId="3">'Test Summary'!#REF!</definedName>
    <definedName name="FDFE">#REF!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 "</definedName>
    <definedName name="LOCAL_SECOND_FORMAT" hidden="1">" "</definedName>
    <definedName name="LOCAL_TIME_SEPARATOR" hidden="1">INDEX(GET.WORKSPACE(37),18)</definedName>
    <definedName name="LOCAL_YEAR_FORMAT" hidden="1">INDEX(GET.WORKSPACE(37),19)</definedName>
    <definedName name="NN">#REF!</definedName>
    <definedName name="North_Nashville">#REF!</definedName>
    <definedName name="Omaha">#REF!</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0" i="28" l="1"/>
  <c r="C29" i="28"/>
  <c r="C28" i="28"/>
  <c r="C27" i="28"/>
  <c r="C26" i="28"/>
  <c r="C25" i="28"/>
  <c r="C24" i="28"/>
  <c r="C23" i="28"/>
  <c r="C22" i="28"/>
  <c r="C21" i="28"/>
  <c r="C20" i="28"/>
  <c r="C19" i="28"/>
  <c r="C18" i="28"/>
  <c r="C16" i="28" l="1"/>
  <c r="C67" i="26" l="1"/>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5" i="26" l="1"/>
  <c r="B19" i="1"/>
  <c r="G5" i="18"/>
  <c r="G6" i="18" s="1"/>
  <c r="G7" i="18" s="1"/>
  <c r="B20" i="1" l="1"/>
  <c r="G8" i="18"/>
  <c r="G9" i="18" s="1"/>
  <c r="G10" i="18" s="1"/>
  <c r="D3" i="19"/>
  <c r="D4" i="19" s="1"/>
  <c r="H3" i="18" s="1"/>
  <c r="C3" i="20" l="1"/>
  <c r="F3" i="1" l="1"/>
  <c r="F4" i="1"/>
  <c r="F5" i="1"/>
  <c r="F6" i="1"/>
  <c r="F7" i="1"/>
  <c r="F8" i="1"/>
  <c r="F9" i="1"/>
  <c r="F10" i="1"/>
  <c r="F11" i="1"/>
  <c r="F12" i="1"/>
  <c r="F13" i="1"/>
  <c r="F2" i="1"/>
  <c r="B4" i="22"/>
  <c r="B3" i="22"/>
  <c r="B2" i="22"/>
  <c r="B1" i="22"/>
  <c r="B4" i="21"/>
  <c r="B3" i="21"/>
  <c r="B2" i="21"/>
  <c r="B1" i="21"/>
  <c r="C17" i="20"/>
  <c r="C16" i="20"/>
  <c r="E10" i="20"/>
  <c r="C11" i="20" s="1"/>
  <c r="E11" i="20"/>
  <c r="C12" i="20" s="1"/>
  <c r="E12" i="20"/>
  <c r="C13" i="20" s="1"/>
  <c r="E13" i="20"/>
  <c r="C14" i="20" s="1"/>
  <c r="E14" i="20"/>
  <c r="E9" i="20"/>
  <c r="C9" i="20"/>
  <c r="D4" i="1" l="1"/>
  <c r="E7" i="1"/>
  <c r="B7" i="1"/>
  <c r="C7" i="1"/>
  <c r="D7" i="1"/>
  <c r="B4" i="1"/>
  <c r="E4" i="1"/>
  <c r="C4" i="1"/>
  <c r="D9" i="20"/>
  <c r="D14" i="20"/>
  <c r="C10" i="20"/>
  <c r="D10" i="20" s="1"/>
  <c r="D11" i="20"/>
  <c r="D12" i="20"/>
  <c r="D13" i="20"/>
  <c r="E3" i="20" l="1"/>
  <c r="B12" i="18"/>
  <c r="L1" i="1" l="1"/>
  <c r="C4" i="20"/>
  <c r="D3" i="20"/>
  <c r="N1" i="1"/>
  <c r="E4" i="20"/>
  <c r="C5" i="20" s="1"/>
  <c r="B4" i="17"/>
  <c r="E3" i="1" s="1"/>
  <c r="B3" i="17"/>
  <c r="D3" i="1" s="1"/>
  <c r="B2" i="17"/>
  <c r="C3" i="1" s="1"/>
  <c r="B1" i="17"/>
  <c r="B3" i="1" s="1"/>
  <c r="E2" i="1"/>
  <c r="D2" i="1"/>
  <c r="C2" i="1"/>
  <c r="B2" i="1"/>
  <c r="E8" i="1"/>
  <c r="D8" i="1"/>
  <c r="C8" i="1"/>
  <c r="B8" i="1"/>
  <c r="B4" i="14"/>
  <c r="E6" i="1" s="1"/>
  <c r="B3" i="14"/>
  <c r="D6" i="1" s="1"/>
  <c r="B2" i="14"/>
  <c r="C6" i="1" s="1"/>
  <c r="B1" i="14"/>
  <c r="B6" i="1" s="1"/>
  <c r="E5" i="20" l="1"/>
  <c r="D4" i="20"/>
  <c r="E6" i="20" l="1"/>
  <c r="C6" i="20"/>
  <c r="D5" i="20"/>
  <c r="E7" i="20" l="1"/>
  <c r="C7" i="20"/>
  <c r="D6" i="20"/>
  <c r="C8" i="20" l="1"/>
  <c r="D7" i="20"/>
  <c r="E8" i="20"/>
  <c r="D8" i="20" l="1"/>
  <c r="C11" i="1" l="1"/>
  <c r="B11" i="1"/>
  <c r="D11" i="1"/>
  <c r="E11" i="1"/>
  <c r="D9" i="1"/>
  <c r="C9" i="1"/>
  <c r="B9" i="1"/>
  <c r="E9" i="1"/>
  <c r="B3" i="7"/>
  <c r="D10" i="1" s="1"/>
  <c r="B2" i="7"/>
  <c r="C10" i="1" s="1"/>
  <c r="B1" i="7"/>
  <c r="B10" i="1" s="1"/>
  <c r="B4" i="7"/>
  <c r="E10" i="1" s="1"/>
  <c r="B3" i="5"/>
  <c r="D12" i="1" s="1"/>
  <c r="B2" i="5"/>
  <c r="C12" i="1" s="1"/>
  <c r="B1" i="5"/>
  <c r="B12" i="1" s="1"/>
  <c r="B4" i="5"/>
  <c r="E12" i="1" s="1"/>
  <c r="D5" i="1"/>
  <c r="C5" i="1"/>
  <c r="B5" i="1"/>
  <c r="E5" i="1"/>
  <c r="B3" i="3"/>
  <c r="D13" i="1" s="1"/>
  <c r="B2" i="3"/>
  <c r="C13" i="1" s="1"/>
  <c r="B1" i="3"/>
  <c r="B13" i="1" s="1"/>
  <c r="B4" i="3"/>
  <c r="E13" i="1" s="1"/>
  <c r="B16" i="1" l="1"/>
  <c r="B17" i="1" l="1"/>
  <c r="J1" i="1" s="1"/>
  <c r="H1" i="1"/>
</calcChain>
</file>

<file path=xl/sharedStrings.xml><?xml version="1.0" encoding="utf-8"?>
<sst xmlns="http://schemas.openxmlformats.org/spreadsheetml/2006/main" count="1754" uniqueCount="760">
  <si>
    <t>Test Case</t>
  </si>
  <si>
    <t>Pass</t>
  </si>
  <si>
    <t>Fail</t>
  </si>
  <si>
    <t>Pending</t>
  </si>
  <si>
    <t>Sum</t>
  </si>
  <si>
    <t>Result</t>
  </si>
  <si>
    <t>E2E 02</t>
  </si>
  <si>
    <t>E2E 03</t>
  </si>
  <si>
    <t>E2E 04</t>
  </si>
  <si>
    <t>E2E 05</t>
  </si>
  <si>
    <t>E2E 06</t>
  </si>
  <si>
    <t>E2E 07</t>
  </si>
  <si>
    <t>E2E 08</t>
  </si>
  <si>
    <t>E2E 13</t>
  </si>
  <si>
    <t>E2E 14</t>
  </si>
  <si>
    <t>E2E 15</t>
  </si>
  <si>
    <t>E2E 16</t>
  </si>
  <si>
    <t>E2E 17</t>
  </si>
  <si>
    <t>E2E 19</t>
  </si>
  <si>
    <t>E2E 20</t>
  </si>
  <si>
    <t>E2E 22</t>
  </si>
  <si>
    <t>E2E 23</t>
  </si>
  <si>
    <t>E2E 27</t>
  </si>
  <si>
    <t>E2E 28</t>
  </si>
  <si>
    <t>E2E 35</t>
  </si>
  <si>
    <t>E2E 36</t>
  </si>
  <si>
    <t>E2E 37</t>
  </si>
  <si>
    <t>E2E 38</t>
  </si>
  <si>
    <t>E2E 39</t>
  </si>
  <si>
    <t>E2E 42</t>
  </si>
  <si>
    <t>E2E 43</t>
  </si>
  <si>
    <t>E2E 44</t>
  </si>
  <si>
    <t>E2E 45</t>
  </si>
  <si>
    <t>E2E 46</t>
  </si>
  <si>
    <t>E2E 47</t>
  </si>
  <si>
    <t>E2E 48</t>
  </si>
  <si>
    <t>E2E 50</t>
  </si>
  <si>
    <t>E2E 53</t>
  </si>
  <si>
    <t>E2E 54</t>
  </si>
  <si>
    <t>E2E 55</t>
  </si>
  <si>
    <t>M-TIP02.Test.01.Scenario.04</t>
  </si>
  <si>
    <t>M-TIP02.Test.01.Scenario.05</t>
  </si>
  <si>
    <t>M-TIP04.Test.01.Scenario.01</t>
  </si>
  <si>
    <t>M-TIP06.Test.01.Scenario.01</t>
  </si>
  <si>
    <t>M-TIP06.Test.02.Scenario.01</t>
  </si>
  <si>
    <t>M-TIP06.Test.03.Scenario.01</t>
  </si>
  <si>
    <t>M-TIP06.Test.05.Scenario.01</t>
  </si>
  <si>
    <t>M-TIP14.Test.01.Scenario.01</t>
  </si>
  <si>
    <t>M-TIP15.Test.01.Scenario.02</t>
  </si>
  <si>
    <t>M-TIP32.Test.01.Scenario.01</t>
  </si>
  <si>
    <t>M-TIP50.Test.01.Scenario.01</t>
  </si>
  <si>
    <t>M-TIP50.Test.02.Scenario.01</t>
  </si>
  <si>
    <t>Test Case 01 (d)</t>
  </si>
  <si>
    <t>Test Case 08</t>
  </si>
  <si>
    <t>Test Case 19</t>
  </si>
  <si>
    <t>Test Case 20</t>
  </si>
  <si>
    <t>Test Case 01 (a)</t>
  </si>
  <si>
    <t>ADVT 1A.4</t>
  </si>
  <si>
    <t>ADVT 2A.1</t>
  </si>
  <si>
    <t>ADVT 1A.1</t>
  </si>
  <si>
    <t>Terminal TC-01</t>
  </si>
  <si>
    <t>Terminal TC-02</t>
  </si>
  <si>
    <t>Terminal TC-03</t>
  </si>
  <si>
    <t>Terminal TC-04</t>
  </si>
  <si>
    <t>Terminal TC-05</t>
  </si>
  <si>
    <t>Terminal TC-08</t>
  </si>
  <si>
    <t>Terminal TC-09</t>
  </si>
  <si>
    <t>Terminal TC-09B</t>
  </si>
  <si>
    <t>Terminal TC-13</t>
  </si>
  <si>
    <t>Terminal TC-14</t>
  </si>
  <si>
    <t>Terminal TC-15</t>
  </si>
  <si>
    <t>Terminal TC-16</t>
  </si>
  <si>
    <t>Terminal TC-17</t>
  </si>
  <si>
    <t>Terminal TC-18</t>
  </si>
  <si>
    <t>Terminal TC-19</t>
  </si>
  <si>
    <t>Terminal TC-20</t>
  </si>
  <si>
    <t>Terminal TC-21</t>
  </si>
  <si>
    <t>Terminal TC-22C</t>
  </si>
  <si>
    <t>Terminal TC-23</t>
  </si>
  <si>
    <t>Terminal TC-25</t>
  </si>
  <si>
    <t>Terminal TC-26</t>
  </si>
  <si>
    <t>Terminal TC-27</t>
  </si>
  <si>
    <t>Terminal TC-29</t>
  </si>
  <si>
    <t>Terminal TC-30</t>
  </si>
  <si>
    <t>Terminal TC-31</t>
  </si>
  <si>
    <t>Terminal TC-33</t>
  </si>
  <si>
    <t>Terminal TC-34</t>
  </si>
  <si>
    <t>Terminal TC-35</t>
  </si>
  <si>
    <t>Terminal TC-36</t>
  </si>
  <si>
    <t>Terminal TC-40</t>
  </si>
  <si>
    <t>UL Notes</t>
  </si>
  <si>
    <t>DNA</t>
  </si>
  <si>
    <t>E2E 57</t>
  </si>
  <si>
    <t>E2E 58</t>
  </si>
  <si>
    <t>E2E 59</t>
  </si>
  <si>
    <t>E2E 60</t>
  </si>
  <si>
    <t>E2E 63</t>
  </si>
  <si>
    <t>Card01</t>
  </si>
  <si>
    <t>Card02</t>
  </si>
  <si>
    <t>Data01</t>
  </si>
  <si>
    <t>Data02</t>
  </si>
  <si>
    <t>Data03</t>
  </si>
  <si>
    <t>Data04</t>
  </si>
  <si>
    <t>Data06</t>
  </si>
  <si>
    <t>Data08</t>
  </si>
  <si>
    <t>Data09</t>
  </si>
  <si>
    <t>Data10</t>
  </si>
  <si>
    <t>Data13</t>
  </si>
  <si>
    <t>EndToEnd09</t>
  </si>
  <si>
    <t>Function01</t>
  </si>
  <si>
    <t>Function02</t>
  </si>
  <si>
    <t>Function07</t>
  </si>
  <si>
    <t>Function08</t>
  </si>
  <si>
    <t>Function17</t>
  </si>
  <si>
    <t>Function20</t>
  </si>
  <si>
    <t>Function21</t>
  </si>
  <si>
    <t>Function23</t>
  </si>
  <si>
    <t>Function24</t>
  </si>
  <si>
    <t>Function25</t>
  </si>
  <si>
    <t>Inter01</t>
  </si>
  <si>
    <t>Inter02</t>
  </si>
  <si>
    <t>Inter03</t>
  </si>
  <si>
    <t>Inter04</t>
  </si>
  <si>
    <t>Inter05</t>
  </si>
  <si>
    <t>Offline01</t>
  </si>
  <si>
    <t>Offline02</t>
  </si>
  <si>
    <t>Other01</t>
  </si>
  <si>
    <t>Other02</t>
  </si>
  <si>
    <t>Other03</t>
  </si>
  <si>
    <t>Select01</t>
  </si>
  <si>
    <t>Select02</t>
  </si>
  <si>
    <t>Select03</t>
  </si>
  <si>
    <t>Select04</t>
  </si>
  <si>
    <t>Select05</t>
  </si>
  <si>
    <t>Select06</t>
  </si>
  <si>
    <t>Select08</t>
  </si>
  <si>
    <t>Select09</t>
  </si>
  <si>
    <t>Select10</t>
  </si>
  <si>
    <t>Select11</t>
  </si>
  <si>
    <t>Select13</t>
  </si>
  <si>
    <t>Select14</t>
  </si>
  <si>
    <t>Select15</t>
  </si>
  <si>
    <t>Select16</t>
  </si>
  <si>
    <t>Select17</t>
  </si>
  <si>
    <t>Select18</t>
  </si>
  <si>
    <t>Select18a</t>
  </si>
  <si>
    <t>Select19</t>
  </si>
  <si>
    <t>Select20</t>
  </si>
  <si>
    <t>Select20a</t>
  </si>
  <si>
    <t>Select21</t>
  </si>
  <si>
    <t>Select22</t>
  </si>
  <si>
    <t>Select23</t>
  </si>
  <si>
    <t>Select25</t>
  </si>
  <si>
    <t>Select36</t>
  </si>
  <si>
    <t>Select37</t>
  </si>
  <si>
    <t>Select38</t>
  </si>
  <si>
    <t>Interac</t>
  </si>
  <si>
    <t>MasterCard</t>
  </si>
  <si>
    <t>ADVT 3A.1</t>
  </si>
  <si>
    <t>Start</t>
  </si>
  <si>
    <t>Today</t>
  </si>
  <si>
    <t>Days Spent</t>
  </si>
  <si>
    <t>Days Remaining</t>
  </si>
  <si>
    <t>AXP EP003</t>
  </si>
  <si>
    <t>AXP EP004</t>
  </si>
  <si>
    <t>AXP EP005</t>
  </si>
  <si>
    <t>AXP EP006</t>
  </si>
  <si>
    <t>AXP EP008</t>
  </si>
  <si>
    <t>AXP EP010</t>
  </si>
  <si>
    <t>AXP EP011</t>
  </si>
  <si>
    <t>AXP EP012</t>
  </si>
  <si>
    <t>AXP EP013</t>
  </si>
  <si>
    <t>AXP EP014</t>
  </si>
  <si>
    <t>AXP EP015</t>
  </si>
  <si>
    <t>AXP EP016</t>
  </si>
  <si>
    <t>AXP EP017</t>
  </si>
  <si>
    <t>AXP EP018</t>
  </si>
  <si>
    <t>AXP EP019</t>
  </si>
  <si>
    <t>AXP EP020</t>
  </si>
  <si>
    <t>AXP EP021</t>
  </si>
  <si>
    <t>AXP EP023</t>
  </si>
  <si>
    <t>AXP EP033</t>
  </si>
  <si>
    <t>AXP EP035</t>
  </si>
  <si>
    <t>UL Review</t>
  </si>
  <si>
    <t>E2E CL 02</t>
  </si>
  <si>
    <t>E2E CL 03</t>
  </si>
  <si>
    <t>E2E CL 04</t>
  </si>
  <si>
    <t>E2E CL 05</t>
  </si>
  <si>
    <t>E2E CL 07</t>
  </si>
  <si>
    <t>E2E CL 08</t>
  </si>
  <si>
    <t>E2E CL 10</t>
  </si>
  <si>
    <t>E2E CL 11</t>
  </si>
  <si>
    <t>E2E CL 12</t>
  </si>
  <si>
    <t>E2E CL 14</t>
  </si>
  <si>
    <t>E2E CL 16</t>
  </si>
  <si>
    <t>E2E CL 17</t>
  </si>
  <si>
    <t>E2E CL 18</t>
  </si>
  <si>
    <t>E2E CL 19</t>
  </si>
  <si>
    <t>E2E CL 21</t>
  </si>
  <si>
    <t>E2E CL 23</t>
  </si>
  <si>
    <t>E2E CL 24</t>
  </si>
  <si>
    <t>E2E CL 27</t>
  </si>
  <si>
    <t>E2E CL 31</t>
  </si>
  <si>
    <t>E2E CL 32</t>
  </si>
  <si>
    <t>E2E CL 33</t>
  </si>
  <si>
    <t>Test Case 01</t>
  </si>
  <si>
    <t>Test Case 02</t>
  </si>
  <si>
    <t>Test Case 03</t>
  </si>
  <si>
    <t>Test Case 04</t>
  </si>
  <si>
    <t>Test Case 06</t>
  </si>
  <si>
    <t>Test Case 07</t>
  </si>
  <si>
    <t>Test Case 09</t>
  </si>
  <si>
    <t>Test Case 10</t>
  </si>
  <si>
    <t>Test Case 11</t>
  </si>
  <si>
    <t>Test Case 12</t>
  </si>
  <si>
    <t xml:space="preserve">General Info: </t>
  </si>
  <si>
    <t>Client Name</t>
  </si>
  <si>
    <t>CertPro ID</t>
  </si>
  <si>
    <t>Current Step</t>
  </si>
  <si>
    <t>Interface to be Certified</t>
  </si>
  <si>
    <t>Transaction Type</t>
  </si>
  <si>
    <t>PwP ID/ Cert ID</t>
  </si>
  <si>
    <t>Step 1 - EMV Onboarding</t>
  </si>
  <si>
    <t>Step 2 - EMV Setup</t>
  </si>
  <si>
    <t>Step 3 - Test Execution</t>
  </si>
  <si>
    <t>Step 4 - Pre-Validation</t>
  </si>
  <si>
    <t>Step 5 - Validation</t>
  </si>
  <si>
    <t>Step 6 - Approval</t>
  </si>
  <si>
    <t>Contact Only</t>
  </si>
  <si>
    <t>Contactless Only</t>
  </si>
  <si>
    <t>Contact + Contactless</t>
  </si>
  <si>
    <t>Debit Only</t>
  </si>
  <si>
    <t>Credit Only</t>
  </si>
  <si>
    <t>Credit + Debit</t>
  </si>
  <si>
    <t xml:space="preserve">Key Actors: </t>
  </si>
  <si>
    <t>FD Cert Analyst</t>
  </si>
  <si>
    <t>FD Relationship Manager</t>
  </si>
  <si>
    <t>UL Cert Analyst</t>
  </si>
  <si>
    <t>Name</t>
  </si>
  <si>
    <t xml:space="preserve">Project Planning: </t>
  </si>
  <si>
    <t>Kick-Off Meeting Date</t>
  </si>
  <si>
    <t>Target Completion Date</t>
  </si>
  <si>
    <t>Actual Completion Date</t>
  </si>
  <si>
    <t>UL Holidays</t>
  </si>
  <si>
    <t>New Year's Day</t>
  </si>
  <si>
    <t>MLK Day</t>
  </si>
  <si>
    <t>Memorial Day</t>
  </si>
  <si>
    <t>Independence Day</t>
  </si>
  <si>
    <t>Labor Day</t>
  </si>
  <si>
    <t>Thanksgiving Day</t>
  </si>
  <si>
    <t>Day after Thanksgiving</t>
  </si>
  <si>
    <t>Christmas Eve</t>
  </si>
  <si>
    <t>Chrstmas Day</t>
  </si>
  <si>
    <t xml:space="preserve">Certification Scope: </t>
  </si>
  <si>
    <t>Test Plan</t>
  </si>
  <si>
    <t>Included?</t>
  </si>
  <si>
    <t>Certification Progress Report</t>
  </si>
  <si>
    <t>v1.0</t>
  </si>
  <si>
    <t>First Data Superset</t>
  </si>
  <si>
    <t>Visa Contact</t>
  </si>
  <si>
    <t>Visa Contactless</t>
  </si>
  <si>
    <t>Visa US Debit</t>
  </si>
  <si>
    <t xml:space="preserve">American Express Contact </t>
  </si>
  <si>
    <t xml:space="preserve">American Express Contactless </t>
  </si>
  <si>
    <t xml:space="preserve">American Express Quick Chip </t>
  </si>
  <si>
    <t xml:space="preserve">Discover Contact </t>
  </si>
  <si>
    <t xml:space="preserve">Discover Contactless </t>
  </si>
  <si>
    <t>Yes or No</t>
  </si>
  <si>
    <t>No</t>
  </si>
  <si>
    <t>Yes</t>
  </si>
  <si>
    <t>Task</t>
  </si>
  <si>
    <t xml:space="preserve">Duration </t>
  </si>
  <si>
    <t>End</t>
  </si>
  <si>
    <t>P1 - EMV Onboarding</t>
  </si>
  <si>
    <t>P2 - EMV Setup</t>
  </si>
  <si>
    <t>P3 - Test Execution</t>
  </si>
  <si>
    <t>P4 - Pre-Validation</t>
  </si>
  <si>
    <t>P5 - Validation</t>
  </si>
  <si>
    <t>P6 - Approval</t>
  </si>
  <si>
    <t>A1 - EMV Onboarding</t>
  </si>
  <si>
    <t>A2 - EMV Setup</t>
  </si>
  <si>
    <t>A3 - Test Execution</t>
  </si>
  <si>
    <t>A4 - Pre-Validation</t>
  </si>
  <si>
    <t>A5 - Validation</t>
  </si>
  <si>
    <t>A6 - Approval</t>
  </si>
  <si>
    <t>Assigned to</t>
  </si>
  <si>
    <t>P - Planned</t>
  </si>
  <si>
    <t>A - Actual</t>
  </si>
  <si>
    <t>Total</t>
  </si>
  <si>
    <t>AXP QC003</t>
  </si>
  <si>
    <t>AXP QC004</t>
  </si>
  <si>
    <t>AXP QC005</t>
  </si>
  <si>
    <t>AXP QC006</t>
  </si>
  <si>
    <t>AXP QC008</t>
  </si>
  <si>
    <t>AXP QC010</t>
  </si>
  <si>
    <t>AXP QC011</t>
  </si>
  <si>
    <t>AXP QC012</t>
  </si>
  <si>
    <t>AXP QC013</t>
  </si>
  <si>
    <t>AXP QC014</t>
  </si>
  <si>
    <t>AXP QC015</t>
  </si>
  <si>
    <t>AXP QC016</t>
  </si>
  <si>
    <t>AXP QC017</t>
  </si>
  <si>
    <t>AXP QC018</t>
  </si>
  <si>
    <t>AXP QC019</t>
  </si>
  <si>
    <t>AXP QC020</t>
  </si>
  <si>
    <t>AXP QC021</t>
  </si>
  <si>
    <t>AXP QC023</t>
  </si>
  <si>
    <t>AXP QC033</t>
  </si>
  <si>
    <t>AXP QC035</t>
  </si>
  <si>
    <t>Please select…</t>
  </si>
  <si>
    <t>Applicability</t>
  </si>
  <si>
    <t>Fail&amp;Pending</t>
  </si>
  <si>
    <t>Certification Progress Form Help</t>
  </si>
  <si>
    <t>Active Business Days</t>
  </si>
  <si>
    <t>Remaining Business Days</t>
  </si>
  <si>
    <t>** Note: [] Refers to the location of the cell.</t>
  </si>
  <si>
    <t>General</t>
  </si>
  <si>
    <t>[C15-C26]</t>
  </si>
  <si>
    <t>[C9-C12]</t>
  </si>
  <si>
    <t xml:space="preserve">Key Actors: FD Cert Analyst, FD Relationship Manager, UL Cert Analyst, and Client's names will appear in the drop down for "Assigned to" column in enabled test plan tab. </t>
  </si>
  <si>
    <t xml:space="preserve">[C6] </t>
  </si>
  <si>
    <t>It's okay to add tabs to the workbook</t>
  </si>
  <si>
    <t>[G3]</t>
  </si>
  <si>
    <t>Tab --&gt; Overview</t>
  </si>
  <si>
    <t>Tab --&gt; Test Summary</t>
  </si>
  <si>
    <t xml:space="preserve">Certification Scope: If a test plan is included in certification please select "Yes". It will enable the corresponding test plan tab. </t>
  </si>
  <si>
    <t>General Info: Current Step -&gt; "Step 3 - Test Execution" will activate the "Passed test cases VS Active business days" chart in Tab Test Summary</t>
  </si>
  <si>
    <t xml:space="preserve">Project Planning: All target dates are based on the KOM meeting date. </t>
  </si>
  <si>
    <t xml:space="preserve">Only the activated test plans in Certification Scope will show up here. </t>
  </si>
  <si>
    <t>Tab --&gt; Test Plans (AMEX CT, Discover CT, MasterCard, etc)</t>
  </si>
  <si>
    <t>[A1-A4]</t>
  </si>
  <si>
    <t xml:space="preserve">The test results sum-up are automatic. Please do not modify. </t>
  </si>
  <si>
    <t xml:space="preserve">Please make sure that all test cases are included in the test case table. You can do so by dragging the little angle symbol at the bottom right corner. </t>
  </si>
  <si>
    <t>Please copy and paste over the test cases that are applicable for your project from CertPro without format or right click Paste Options --&gt; Match Destination Formatting (M).</t>
  </si>
  <si>
    <t>Please DO NOT modify the first 4 columns (A to D). It's okay to add columns if needed.</t>
  </si>
  <si>
    <t>DO NOT DELETE any existing tab from this workbook.</t>
  </si>
  <si>
    <t>FD Holidays (Addition)</t>
  </si>
  <si>
    <t>President's Day</t>
  </si>
  <si>
    <t>Veterans Day</t>
  </si>
  <si>
    <t>Outstanding Issues</t>
  </si>
  <si>
    <t>Question</t>
  </si>
  <si>
    <t>To</t>
  </si>
  <si>
    <t>Sent On</t>
  </si>
  <si>
    <t>Affected Test Cases</t>
  </si>
  <si>
    <t>Follow-up</t>
  </si>
  <si>
    <t>Resolved?</t>
  </si>
  <si>
    <t>Manual Checks</t>
  </si>
  <si>
    <t>Brand</t>
  </si>
  <si>
    <t>Check</t>
  </si>
  <si>
    <t>Status</t>
  </si>
  <si>
    <t>Amex Contact</t>
  </si>
  <si>
    <t>Tag 8A is 3035 or 5A33</t>
  </si>
  <si>
    <t>AXP EMV 022</t>
  </si>
  <si>
    <t>Reversal is generated. If RC, Reversal Indicator is Void</t>
  </si>
  <si>
    <t>AXP EMV 023</t>
  </si>
  <si>
    <t>Tag 8A set from response code. Approval is 3030, Decline is 3035</t>
  </si>
  <si>
    <t>AXP EMV 028</t>
  </si>
  <si>
    <t>AXP EMV 029</t>
  </si>
  <si>
    <t>PIN Bypass must be printed on receipts for transactions which bypass the PIN</t>
  </si>
  <si>
    <t>AXP EMV 037</t>
  </si>
  <si>
    <t>DE35 is present in magstripe test cases. DE45 is acceptable</t>
  </si>
  <si>
    <t>AXP MAG 001</t>
  </si>
  <si>
    <t>AXP MAG 002</t>
  </si>
  <si>
    <t>Verify 9F33 is set to match the L2 value</t>
  </si>
  <si>
    <t>All</t>
  </si>
  <si>
    <t>Verify receipt checks, including Auth code</t>
  </si>
  <si>
    <t>MCC value should be the same in front and back end host</t>
  </si>
  <si>
    <t>Terminal Entry Capablity: Ensure this is sent correctly. If contact or dual interfaceit should indicate Chip and if contactless only it should indicate Contactless Chip. 
     -RC: &lt;TermEntryCapablt&gt;= 04 for contact/dual, 06 for contactless. 
     -ISO: Field 27-Additional POS Information within the POS (Terminal) Capability (DE 63 in front end request). 5 for contact/dual, 6 for contactless</t>
  </si>
  <si>
    <t>Check the transaction type is valid
     -RC: &lt;POSEntryMode&gt; within &lt;CommonGrp&gt; positions 1-2 set to 05 for contact, 07 for contactless, 90 for magstripe, 91 for cntls magstripe, 80 for fallback
     -ISO: DE 22 position 1-2 set to 05 for contact, 07 for contactless, 90 for magstripe, 91 for cntls magstripe, 80 for fallback
     -Omaha: Write Control Character (WCC) is set to A or C for magstripe, E or G for cntls magstripe, I or K for contactless EMV, M for contact EMV, Q for fallback.</t>
  </si>
  <si>
    <t>Check that required tags are present in back end: 9F26, 9F10, 9F27, 9F36, 9F37, 95, 9A, 9C, 5F34, 9F02, 5F2A, 82, 9F1A, 9F03</t>
  </si>
  <si>
    <t>Verify all required tags sent by the card are in host log. See Required Tags tab.</t>
  </si>
  <si>
    <t>Amex Contactless</t>
  </si>
  <si>
    <t>Magstripe transactions have DE22 SE1 set to 5 for ICC</t>
  </si>
  <si>
    <t>AXP EP08</t>
  </si>
  <si>
    <t>AXP EP10</t>
  </si>
  <si>
    <t>Verify all required tags sent by card are in host log. See Required Tags tab.</t>
  </si>
  <si>
    <t>9F33- check that values match L2, minus offline PIN support. In CDCVM is supported, Plaintext PIN (B1b8) should be 1</t>
  </si>
  <si>
    <t>Discover Contact</t>
  </si>
  <si>
    <t>Check CDA is performed correctly (Mode 1 req'd, TVR B1b8 should be 0 in both 1st and 2nd gen AC)</t>
  </si>
  <si>
    <t>Reversal is generated. If RC, Reversal Indicator is Void. POS Entry Mode should match sale.</t>
  </si>
  <si>
    <t>If PIN Bypass is supported, clients must include E2E 56</t>
  </si>
  <si>
    <t>E2E 56</t>
  </si>
  <si>
    <t>Verify that tag 8A in card log matches 8A in host log (3035 also accepted)</t>
  </si>
  <si>
    <t>All fallback that results in magstripe should be sent at technical fallback (De22 postion 1-2 set to 85).</t>
  </si>
  <si>
    <t>E2E 49</t>
  </si>
  <si>
    <t>PIN is performed, not bypassed</t>
  </si>
  <si>
    <t>Payment Network Label printed in receipt. This is in DE 63 Table SD  tag NL in ISO, in RC a code is in &lt;AuthNtwkID&gt; and the RC specs have values mapped. In DBGY it is DE63 SE20.</t>
  </si>
  <si>
    <t>Verify DE 22 set correctly
     -Positions 1-2 should be POS Entry Mode
     -Position 3 should be PIN capability (1 for PIN, 2 for no PIN)</t>
  </si>
  <si>
    <r>
      <t xml:space="preserve">Check DE 61 to ensure values are accurate:
     -Position 1 (POS Terminal Attendance): 0 for Attended Terminal, 1 for Unattended CAT
     -Position 2 (Partial Approval Indicator): 1/2/3/4 for PA supported </t>
    </r>
    <r>
      <rPr>
        <b/>
        <sz val="11"/>
        <color rgb="FFFF0000"/>
        <rFont val="Calibri"/>
        <family val="2"/>
        <scheme val="minor"/>
      </rPr>
      <t>(REQUIRED)</t>
    </r>
    <r>
      <rPr>
        <sz val="11"/>
        <color theme="1"/>
        <rFont val="Calibri"/>
        <family val="2"/>
        <scheme val="minor"/>
      </rPr>
      <t xml:space="preserve">
     -Position 4 (POS Cardjolder Presence): 0 for Cardholder Present
     -Position 5 (POS Card Presence): 0 for Card Present
     -Position 10 (Cardholder-Activated Terminal Level): 0 for Not a CAT, 1-9 Depending on CAT/MPOS
     -Position 11 (POS Card Data Terminal Inpit Capability Indicator):
          -5 for ICC
          -H for Hybrid (ICC and contactless)
          -C for RFID and chip
          -R for RFID and magstripe</t>
    </r>
  </si>
  <si>
    <t>Check Tag 9C
     -'00' for Purchase
     -'09' for Cashback</t>
  </si>
  <si>
    <t>Verify receipt checks, including Auth code. Ensure client sends receipts for E2E 02, E2E 06, E2E 09, E2E 49, E2E 50</t>
  </si>
  <si>
    <t>9F33 value must match the L2</t>
  </si>
  <si>
    <t>Verify DE41 is present in host log</t>
  </si>
  <si>
    <t>Discover Contactless</t>
  </si>
  <si>
    <t>Magstripe transactions have DE61.11 set to 5 for ICC</t>
  </si>
  <si>
    <t>If run equal to CVM limit, NOCVM should be allowed.</t>
  </si>
  <si>
    <t>Track data in magstripe transactions must be appended with dCVV, DE 35 should be correctly filled</t>
  </si>
  <si>
    <t>Any CVM specific test cases should be run above CVM limit regardless of suggested transaction amount</t>
  </si>
  <si>
    <t>9F34 can be either 1F or 3F</t>
  </si>
  <si>
    <t>TTQ value must be set correctly- see Tag References for help. If offline PIN is valid in contact, B2b6 should be set.</t>
  </si>
  <si>
    <r>
      <t>Check DE 61 to ensure values are accurate:
     -Position 1 (POS Terminal Attendance): 0 for Attended Terminal, 1 for Unattended CAT
     -Position 2 (Partial Approval Indicator): 1/2/3/4 for PA supported</t>
    </r>
    <r>
      <rPr>
        <b/>
        <sz val="11"/>
        <color rgb="FFFF0000"/>
        <rFont val="Calibri"/>
        <family val="2"/>
        <scheme val="minor"/>
      </rPr>
      <t xml:space="preserve"> (REQUIRED)</t>
    </r>
    <r>
      <rPr>
        <sz val="11"/>
        <color theme="1"/>
        <rFont val="Calibri"/>
        <family val="2"/>
        <scheme val="minor"/>
      </rPr>
      <t xml:space="preserve">
     -Position 4 (POS Cardjolder Presence): 0 for Cardholder Present
     -Position 5 (POS Card Presence): 0 for Card Present
     -Position 10 (Cardholder-Activated Terminal Level): 0 for Not a CAT, 1-9 Depending on CAT/MPOS
     -Position 11 (POS Card Data Terminal Inpit Capability Indicator):
          -5 for ICC
          -H for Hybrid (ICC and contactless)
          -C for RFID and chip
          -R for RFID and magstripe</t>
    </r>
  </si>
  <si>
    <t>Verify receipt checks, including Auth code. Required receipts are E2E CL 07, E2E CL 08, and E2E CL 17</t>
  </si>
  <si>
    <t>9F33- check that values match L2, minus offline PIN support</t>
  </si>
  <si>
    <t>Mastercard Contact</t>
  </si>
  <si>
    <t>Reversal is generated. If RC, Reversal Indicator is Void. Verify POS Entry Mode matches sale. Track 2 data is not present in reversal message</t>
  </si>
  <si>
    <t>MTIP06.Test.05.Scenario.01</t>
  </si>
  <si>
    <t>MTIP06.Test.06.Scenario.01</t>
  </si>
  <si>
    <t>MTIP24.Test.01.Scenario.01</t>
  </si>
  <si>
    <t>Offline Decline should not be sent online</t>
  </si>
  <si>
    <t>MTIP10.Test.01.Scenario.01</t>
  </si>
  <si>
    <t>Magstipe grade transaction has valid 8A value created from DE39.</t>
  </si>
  <si>
    <t>MTIP05-USM.Test.05.Scenario.01</t>
  </si>
  <si>
    <t>Extended AIDs are showing in both SELECT command and in DE55</t>
  </si>
  <si>
    <t>MTIP15.Test.01.Scenario.02</t>
  </si>
  <si>
    <t>9F6E is not present in the host log</t>
  </si>
  <si>
    <t>MTIP02 (all)</t>
  </si>
  <si>
    <t>MTIP04 (all)</t>
  </si>
  <si>
    <t>MTIP06 (all)</t>
  </si>
  <si>
    <t>MTIP50 (all)</t>
  </si>
  <si>
    <t>MTIP51 (all)</t>
  </si>
  <si>
    <t>If Auto Debit Selection is supported, USM AID is chosen automatically.</t>
  </si>
  <si>
    <t>Any USM</t>
  </si>
  <si>
    <t>Verfiy 9F33 matches L2</t>
  </si>
  <si>
    <t>Check DE22 in host log. Positions 1-2 should indicate the POS entry mode. Position 3 should match the PIN Capability (see Work instructions for possible values).</t>
  </si>
  <si>
    <r>
      <t xml:space="preserve">Check DE 61 to ensure values are accurate:
     -Position 1 (POS Terminal Attendance): 0 for Attended Terminal, 1 for Unattended CAT
     -Position 4 (POS Cardjolder Presence): 0 for Cardholder Present
     -Position 5 (POS Card Presence): 0 for Card Present
     -Position 7: 0 is expected. 7 is not a valid value. </t>
    </r>
    <r>
      <rPr>
        <b/>
        <sz val="11"/>
        <color theme="1"/>
        <rFont val="Calibri"/>
        <family val="2"/>
        <scheme val="minor"/>
      </rPr>
      <t>(Double check for cashback, get waiver for MTIP05-USM.8.1)</t>
    </r>
    <r>
      <rPr>
        <sz val="11"/>
        <color theme="1"/>
        <rFont val="Calibri"/>
        <family val="2"/>
        <scheme val="minor"/>
      </rPr>
      <t xml:space="preserve">
     -Position 10 (Cardholder-Activated Terminal Level): 0 for Not a CAT, 1-9 Depending on CAT/MPOS
     -Position 11 (POS Card Data Terminal Inpit Capability Indicator):
          -3 for Cntls M/Chip (Dual interface POS, CAT)
          -4 for Cntls Magstripe
          -5 for EMV Chip and magstripe (contact only POS, CAT)
          -8 for EMV Chip, magstripe, and key entry (contact only POS)
          -9 for MPOS (MPOS)</t>
    </r>
  </si>
  <si>
    <t>DE3 SE1 should match tag 9C in DE55. Value should be validated based on transaction type (see Work Instructions for possible values)</t>
  </si>
  <si>
    <t>DE13 matches tag 9A in DE55</t>
  </si>
  <si>
    <t>DE12 and DE13 exist if DE22 position 1-2 is 05, 07, 09, or 80</t>
  </si>
  <si>
    <t>Check the MCC code is the same in front and back end host.</t>
  </si>
  <si>
    <t xml:space="preserve">Verify the following tags are not sent to MC in back end: 9F6E, 5A, 57, 5F24, 5F30 </t>
  </si>
  <si>
    <t>Verify the following tags are sent to MC in back end: 9F26, 9F27, 9F36, 9F37, 95, 9A, 9C, 9F34, 9F35, 9F41, 9F1E, 9F53, 9F09, 9F02, 5F2A, 84, 82, 9F33, 9F1A, 9F03, 9F10</t>
  </si>
  <si>
    <t>Partial Auth indicator (DE 48 SE 61.01)=1.</t>
  </si>
  <si>
    <t>Mastercard Contactless</t>
  </si>
  <si>
    <t>Ttransaction is approved online even when CV fails. Verify TAC values allow this.</t>
  </si>
  <si>
    <t>UM94.1.1</t>
  </si>
  <si>
    <t>9F33 must be dynamic in byte 2 for above and below CVM. No offline PIN support for any AID, no signature for Maestro/USM. Maestro must have no NoCVM and $0 CVM limit, USM cannot support CDCVM.</t>
  </si>
  <si>
    <t>9F33 byte 3 must only show support for CDA, so should be 08 (Best Practice, not Requirement)</t>
  </si>
  <si>
    <r>
      <t xml:space="preserve">Check DE 61 to ensure values are accurate:
     -Position 1 (POS Terminal Attendance): 0 for Attended Terminal, 1 for Unattended CAT
     -Position 4 (POS Cardjolder Presence): 0 for Cardholder Present
     -Position 5 (POS Card Presence): 0 for Card Present
     -Position 7: 0 is expected. 7 is not a valid value. </t>
    </r>
    <r>
      <rPr>
        <b/>
        <sz val="11"/>
        <color theme="1"/>
        <rFont val="Calibri"/>
        <family val="2"/>
        <scheme val="minor"/>
      </rPr>
      <t>(Double check for cashback)</t>
    </r>
    <r>
      <rPr>
        <sz val="11"/>
        <color theme="1"/>
        <rFont val="Calibri"/>
        <family val="2"/>
        <scheme val="minor"/>
      </rPr>
      <t xml:space="preserve">
     -Position 10 (Cardholder-Activated Terminal Level): 0 for Not a CAT, 1-9 Depending on CAT/MPOS
     -Position 11 (POS Card Data Terminal Inpit Capability Indicator):
          -3 for Cntls M/Chip (Dual interface POS, CAT)
          -4 for Cntls Magstripe
          -5 for EMV Chip and magstripe (contact only POS, CAT)
          -8 for EMV Chip, magstripe, and key entry (contact only POS)
          -9 for MPOS (MPOS)</t>
    </r>
  </si>
  <si>
    <t>9F34 is set correctly if CDCVM performed. Value should be 3F0002.</t>
  </si>
  <si>
    <t>Verify the following tags are sent to MC: 9F26, 9F27, 9F36, 9F37, 95, 9A, 9C, 9F34, 9F35, 9F41, 9F1E, 9F53, 9F09, 9F02, 5F2A, 84, 82, 9F33, 9F1A, 9F03, 9F10</t>
  </si>
  <si>
    <t xml:space="preserve">Verify the following tags are not sent to MC: 9F6E, 5A, 57, 5F24, 5F30 </t>
  </si>
  <si>
    <t>Send 9F6E in host only if present in card log and device type is present in tag (byte 3 bit 8=0). If 9F6E present, DE48 SE23 should hold correct Device Type value. Otherwise it should not exist</t>
  </si>
  <si>
    <t>All (ex: PPC.MCD.10.Test.01.Scenario.01)</t>
  </si>
  <si>
    <t>Offline Decline test cases have no host log</t>
  </si>
  <si>
    <t>All fallback that results in magstripe should be sent at technical fallback (POS Entry Mode set to 80). Receipt should show "Fswipe"</t>
  </si>
  <si>
    <t>Interlink must be sent as a debit (200) message.</t>
  </si>
  <si>
    <t>Verify 9F53 is only sent in host if present in card logs. It will only be in front end- it should not be present in back end host log.</t>
  </si>
  <si>
    <t>Verify following tags are sent to Visa: 9F02, 9F03, 9F26, 82, 5F34 (present when present on the card, populated DE23), 9F36, 9F34, 84, 9F10, 9F33, 9F1A, 9A, 95, 5F2A, 9C, 9F37, 9F39 (not required)</t>
  </si>
  <si>
    <t>Verify the following tags are not sent to Visa: 56, 57, 5A, 5F20, 5F24, 99, 9F0B, 9F1F, 9F20, 9F53, 9F1E</t>
  </si>
  <si>
    <t>9F39 tag should have a value matching the POS Entry Mode</t>
  </si>
  <si>
    <t>DE60 should be set correctly:
     -Position 1: 4 for ECR, 9 for MPOS, 3 for unattended CAT, 0 or 7 for attended POS
     -Position 2: 5 for ICC
     -Position 3: 1 or 2 for Fallback, 0 for Chip
     -Position 10: 1 for Partial Auth supported</t>
  </si>
  <si>
    <t>Visa US Common</t>
  </si>
  <si>
    <t>If auto debit selection is supported, CAID should be auto selected if available.</t>
  </si>
  <si>
    <t>ADVT 1A.2</t>
  </si>
  <si>
    <t>Ensure this is sent as cashback with transaction type (tag 9C) set to 09.</t>
  </si>
  <si>
    <t>CDET 1C.5</t>
  </si>
  <si>
    <t>If PIN is CVM, CAID should be sent as a debit 200 message.</t>
  </si>
  <si>
    <t>Visa Cntls transaction have tag 95 set to all 00s.</t>
  </si>
  <si>
    <t>All cntls</t>
  </si>
  <si>
    <t>Verify 9A tag set correctly</t>
  </si>
  <si>
    <t>If supported, Interlink Test case must be sent as a 200 message. Verify floor limit is $0</t>
  </si>
  <si>
    <t>9F66 must be dynamic in byte 2 based on the CVM limit. Verify that Issuer Script (byte 3 bit 8) is only set to 1 if client wishes to support and terminal is able.</t>
  </si>
  <si>
    <t>MSD receipt should show "Swipe". POS Entry mode should be 91</t>
  </si>
  <si>
    <t>Required EMV Tags</t>
  </si>
  <si>
    <t>Tag</t>
  </si>
  <si>
    <t>Tag Name</t>
  </si>
  <si>
    <t>Condition</t>
  </si>
  <si>
    <t>Set By</t>
  </si>
  <si>
    <t>Card log location</t>
  </si>
  <si>
    <t>Present?</t>
  </si>
  <si>
    <t>Validations</t>
  </si>
  <si>
    <t>4F</t>
  </si>
  <si>
    <t>AID</t>
  </si>
  <si>
    <t>Optional</t>
  </si>
  <si>
    <t>Card</t>
  </si>
  <si>
    <t>NA</t>
  </si>
  <si>
    <t>AIP</t>
  </si>
  <si>
    <t>Always</t>
  </si>
  <si>
    <t>GPO response</t>
  </si>
  <si>
    <t>SELECT response</t>
  </si>
  <si>
    <t>TVR</t>
  </si>
  <si>
    <t>Terminal</t>
  </si>
  <si>
    <t>1st Gen AC Command</t>
  </si>
  <si>
    <t>Verify value is correct for transaction</t>
  </si>
  <si>
    <t>9A</t>
  </si>
  <si>
    <t>Transaction Date</t>
  </si>
  <si>
    <t>9C</t>
  </si>
  <si>
    <t>5F24</t>
  </si>
  <si>
    <t>Application Expiration Date</t>
  </si>
  <si>
    <t>Read Record response</t>
  </si>
  <si>
    <t>5F2A</t>
  </si>
  <si>
    <t>Transaction Currency Code</t>
  </si>
  <si>
    <t>Should be 0840 if USD</t>
  </si>
  <si>
    <t>5F30</t>
  </si>
  <si>
    <t>Service Code</t>
  </si>
  <si>
    <t>5F34</t>
  </si>
  <si>
    <t>PAN Sequence Number</t>
  </si>
  <si>
    <t>Only if sent by card</t>
  </si>
  <si>
    <t>Verify DE23 matches 5F34 value</t>
  </si>
  <si>
    <t>9F02</t>
  </si>
  <si>
    <t>Transaction Amount</t>
  </si>
  <si>
    <t>9F03</t>
  </si>
  <si>
    <t>Additional Amount</t>
  </si>
  <si>
    <t>9F06</t>
  </si>
  <si>
    <t>9F07</t>
  </si>
  <si>
    <t>AUC</t>
  </si>
  <si>
    <t>9F09</t>
  </si>
  <si>
    <t>Application Version Number</t>
  </si>
  <si>
    <t>Will match 9F08 in Read Record Command. If incorrct, will cause TVR B2b8 to be 1.
     -Discover and Amex: 00 01
     -JCB: 02 00
     -Mastercard: 00 02
     -Visa: 00 8C or 00 96</t>
  </si>
  <si>
    <t>9F10</t>
  </si>
  <si>
    <t>Issuer Application Data</t>
  </si>
  <si>
    <t>1st Gen AC Response</t>
  </si>
  <si>
    <t>9F1A</t>
  </si>
  <si>
    <t>Terminal Country Code</t>
  </si>
  <si>
    <t xml:space="preserve">9F1E </t>
  </si>
  <si>
    <t>IFD Serial Number</t>
  </si>
  <si>
    <t>Recommended</t>
  </si>
  <si>
    <t>Verify the correct format: no spaces or special characters, length 8 bytes</t>
  </si>
  <si>
    <t>9F26</t>
  </si>
  <si>
    <t>Application Cryptogram</t>
  </si>
  <si>
    <t>9F27</t>
  </si>
  <si>
    <t>Cryptogram Information Data</t>
  </si>
  <si>
    <t>Will always be 80 if online transaction</t>
  </si>
  <si>
    <t>9F33</t>
  </si>
  <si>
    <t>Terminal Capabilities</t>
  </si>
  <si>
    <t>Always (optional in Discover and Visa cntls)</t>
  </si>
  <si>
    <t>Must match Kernel Config in L2 for contact, remove offline PIN support for cntls. See Tag References for more details for Mastercard contactless.</t>
  </si>
  <si>
    <t>9F34</t>
  </si>
  <si>
    <t>CVM Results</t>
  </si>
  <si>
    <t>Must match CVM performed  (not required in Visa contactless)</t>
  </si>
  <si>
    <t>9F35</t>
  </si>
  <si>
    <t>Terminal Type</t>
  </si>
  <si>
    <t>Must match Kernel Config in L2</t>
  </si>
  <si>
    <t>9F36</t>
  </si>
  <si>
    <t>Application Transaction Counter</t>
  </si>
  <si>
    <t>9F37</t>
  </si>
  <si>
    <t>Unpredictable Number</t>
  </si>
  <si>
    <t>9F39</t>
  </si>
  <si>
    <t>POS Entry Mode</t>
  </si>
  <si>
    <t>9F41</t>
  </si>
  <si>
    <t>Transaction Sequence Counter</t>
  </si>
  <si>
    <t>9F53</t>
  </si>
  <si>
    <t>Transaction Category Code</t>
  </si>
  <si>
    <t>Mastercard and Visa only</t>
  </si>
  <si>
    <t>Visa- Only if sent by card</t>
  </si>
  <si>
    <t>9F6E</t>
  </si>
  <si>
    <t>Third Party Data</t>
  </si>
  <si>
    <t>Visa and MC Cntls Only</t>
  </si>
  <si>
    <t>Only if sent by card (Visa)</t>
  </si>
  <si>
    <t>Read Record Command</t>
  </si>
  <si>
    <r>
      <t xml:space="preserve">Only if sent by the card </t>
    </r>
    <r>
      <rPr>
        <b/>
        <sz val="11"/>
        <color theme="1"/>
        <rFont val="Calibri"/>
        <family val="2"/>
        <scheme val="minor"/>
      </rPr>
      <t>and</t>
    </r>
    <r>
      <rPr>
        <sz val="11"/>
        <color theme="1"/>
        <rFont val="Calibri"/>
        <family val="2"/>
        <scheme val="minor"/>
      </rPr>
      <t xml:space="preserve"> Device Type field in byte 3 bit 8=0 (MC)</t>
    </r>
  </si>
  <si>
    <t>Also verify that DE48 SE23 shows the correct Device Type. If tag not present, verify DE48 SE23 is not present</t>
  </si>
  <si>
    <t>Missing Tags:</t>
  </si>
  <si>
    <t>Tag Reference for Common Issues</t>
  </si>
  <si>
    <t>Rule Qualifier</t>
  </si>
  <si>
    <t>Details</t>
  </si>
  <si>
    <t>Contact Transactions</t>
  </si>
  <si>
    <t xml:space="preserve">The tag should be the same in all contact transactions regardless of AID. Byte 1 should show the entry methods supported, Byte 2 shows the CVMs supported, and Byte 3 shows the ODA methods supported. All must match your L2 Kernel Configuration. </t>
  </si>
  <si>
    <t>Contactless Transactions</t>
  </si>
  <si>
    <t>The tag will be modified for contactless support. In all brands, the Byte 1 value will remain the same as in contact. In all brands, Byte 2 will not indicate Offline PIN (exception for Plaintext PIN B2b8 for Amex contactless if CDCVM is supported). In Mastercard contactless, the tag will change based on the AID and transaction amount. Rules are as follows:
       - If the transaction amount is above the CVM limit, the byte 2 value will indicate all CVM supported (excluding NoCVM).
            - Maestro and USM only support Online PIN, so the value will be 40
            - MC supports Online PIN and Signature, so the value will be 60
       - If the transaction amount is below the CVM limit, the byte 2 value will indicate only NoCVM
            - Maestro has a $0 floor limit and so doesn't support NoCVM. You will never have a transaction below the floor limit.
            - USM and MC will have this for any transaction below the CVM limit. Value should be 08.
In Mastercard contactless, byte 3 should be 08.</t>
  </si>
  <si>
    <t>9F66</t>
  </si>
  <si>
    <t>Visa and Discover Contactless</t>
  </si>
  <si>
    <t>The tag replaces the 9F33 tag in Visa and Discover contactless. Bytes 1, 3, and 4 are static. The values should show support based on the L2 Kernel Configuration, as well as project specific support. Ensure the value of these bits is always the same. Byte 2 will be dynamic based on the transaction amount, adhering to the below rules:
       - Bit 8 will change if you support a positive floor limit. If floor limit is $0, it will always be 1.
            - If transaction amount is above the floor limit, value is 1.
            - If transaction amount is below the floor limit, value is 0.
       - Bit 7 will change if you support a positive CVM limit. If CVM limit is $0, it will always be 1.
            - If transaction amount is above the CVM limit, value is 1.
            - If transaction amount is below the CVM limit, value is 0.
       - Bits 6-1 are static. Bit 6 indicates if offline PIN is supported in contact transactions, bits 5-1 are always set to 0.</t>
  </si>
  <si>
    <t>9F1D</t>
  </si>
  <si>
    <t>This tag is used for risk management and should be set up to show CVM and transaction type support. Bytes 4-8 are all set to 00s. Bytes 1-3 are set to a value dependant on the AID.</t>
  </si>
  <si>
    <t>Mastercard AID</t>
  </si>
  <si>
    <t>Mastercard AID (A0000000041010) will have a value as follows:
         - Byte 1: Will show contactless CVM capabilites. If all CVM are supported, this byte value is 6C.
                - Bits 8 and 1 should always be 0. 
                - Bits 7-2 show the contactless CVM capabilities. As a note, offline PIN is not supported in MC contactless.
         - Byte 2: Will show the contact CVM capabilities. If all CVM are supported, this byte value is 78.
                - Bits 8 and 1 should always be 0.
                - Bits 7-2 show the contact CVM capabilities and so match the kernel configuration. As a note, CDCVM is not supported in contact.
         - Byte 3: Will show tranaction type support. If both EMV and Magstripe are supported, value will be 00.
                - Bits 6-1 shoule always be 0.
                - Bit 8 indicates if contactless magstripe is supported (Supported will have a value of 0)
                - Bit 7 indicates if contactless EMV is supported (Supported will have a value of 0)</t>
  </si>
  <si>
    <t>USM AID</t>
  </si>
  <si>
    <t>USM AID (A0000000042203) will have a value as follows:
            - Byte 1: Will show contactless CVM capabilites. If all CVM are supported, this byte value is 48.
                - Bits 8 and 1 should always be 0. 
                - Bits 7-2 show the contactless CVM capabilities. Offline PIN is not supported in MC contactless. Signature and CDCVM not supported in USM.
            - Byte 2: Will show the contact CVM capabilities. If all CVM are supported, this byte value is 78.
                - Bits 8 and 1 should always be 0.
                - Bits 7-2 show the contact CVM capabilities and so match the kernel configuration. As a note, CDCVM is not supported in contact.
            - Byte 3: Will show tranaction type support. If both EMV and Magstripe are supported, value will be 80.
                - Bits 6-1 shoule always be 0.
                - Bit 8 indicates if contactless magstripe is supported (Supported will have a value of 0). USM does not allow contactless magstripe.
                - Bit 7 indicates if contactless EMV is supported (Supported will have a value of 0)</t>
  </si>
  <si>
    <t>Maestro AID</t>
  </si>
  <si>
    <t>Maestro AID (A0000000043060) will have a value as follows:
      - Byte 1: Will show contactless CVM capabilites. If all CVM are supported, this byte value is 44.
                - Bits 8 and 1 should always be 0. 
                - Bits 7-2 show the contactless CVM capabilities. Offline PIN is not supported in MC contactless. Signature and NoCVM not supported in Maestro.
      - Byte 2: Will show the contact CVM capabilities. If all CVM are supported, this byte value is 78.
                - Bits 8 and 1 should always be 0.
                - Bits 7-2 show the contact CVM capabilities and so match the kernel configuration. As a note, CDCVM is not supported in contact.
      - Byte 3: Will show tranaction type support. If both EMV and Magstripe are supported, value will be 80.
                - Bits 6-1 shoule always be 0.
                - Bit 8 indicates if contactless magstripe is supported (Supported will have a value of 0). Maestro does not allow contactless magstripe.
                - Bit 7 indicates if contactless EMV is supported (Supported will have a value of 0)</t>
  </si>
  <si>
    <t>Required Receipt Data</t>
  </si>
  <si>
    <t>Field</t>
  </si>
  <si>
    <t>Where found</t>
  </si>
  <si>
    <t>Description</t>
  </si>
  <si>
    <t>MID/TID</t>
  </si>
  <si>
    <t>Set in terminal</t>
  </si>
  <si>
    <t>MID and TID must be displayed and masked to only show the last four digits.</t>
  </si>
  <si>
    <t>Always required</t>
  </si>
  <si>
    <t>Transaction_Amount</t>
  </si>
  <si>
    <t>Transaction amount must be printed as total.</t>
  </si>
  <si>
    <t>Currency must be indicated by $USD, USD$, or $</t>
  </si>
  <si>
    <t>Application_Name</t>
  </si>
  <si>
    <t>9F12 (if available)
50</t>
  </si>
  <si>
    <t>Application name (or label) must be printed on the receipt exactly as written in tag 9F12, or if 9F12 is not available, in tag 50.</t>
  </si>
  <si>
    <t>Payment_Network</t>
  </si>
  <si>
    <t>Front end response</t>
  </si>
  <si>
    <t>Network used for routing must be printed for USC AID receipts.
  -ISO: Found in DE 63, Table SD, Tag NL
  -RC: 
  -Omaha:</t>
  </si>
  <si>
    <t>Only USC AID</t>
  </si>
  <si>
    <t>PAN</t>
  </si>
  <si>
    <t>5A</t>
  </si>
  <si>
    <t>Application PAN must be printed as written in tag 5A.</t>
  </si>
  <si>
    <t>PAN must be truncated to remove trailing characters.</t>
  </si>
  <si>
    <t>PAN must be masked.</t>
  </si>
  <si>
    <t>84 (also found in 4F, 9F06)</t>
  </si>
  <si>
    <t>The entire AID must be printed as provided by the card.</t>
  </si>
  <si>
    <t>Card_Entry_Method</t>
  </si>
  <si>
    <t>Coded from POS entry mode</t>
  </si>
  <si>
    <t>Indicates how the card was read:
  -Chip Read
  -Contactless
  -Fswipe
  -Keyed
  -Swiped</t>
  </si>
  <si>
    <t>CVM</t>
  </si>
  <si>
    <t>9F34, 9F6C (Visa contactless), 9F71 (Discover contactless)</t>
  </si>
  <si>
    <t>CVM performed is required to be printed:
  -"Verified by PIN" if PIN is performed
  -"PIN Bypassed" if PIN is bypassed
  -Signature line if signature required
  -NoCVM: Nothing required to be printed</t>
  </si>
  <si>
    <t>Authorization_Mode</t>
  </si>
  <si>
    <t>The mode used to authorize must be printed.
  -"Card" if transaction was offline declined/epproved offline
  -"Issuer" if transaction was sent online.</t>
  </si>
  <si>
    <t>TVR_ARC_TSI_IAD</t>
  </si>
  <si>
    <t>95, 8A, 9B, 9F10</t>
  </si>
  <si>
    <t>These tags are expected to be printed. They are required for declined transactions, highly recommended for approvals.</t>
  </si>
  <si>
    <t>Required for declines
Recommended for approvals</t>
  </si>
  <si>
    <t>Receipt failures:</t>
  </si>
  <si>
    <t>MC-Recommended</t>
  </si>
  <si>
    <t>Terminal Transaction  Qualifier</t>
  </si>
  <si>
    <t>Visa and Discover only</t>
  </si>
  <si>
    <t>Contactless, always</t>
  </si>
  <si>
    <t>GPO Command</t>
  </si>
  <si>
    <t>Bytes 1, 3, and 4 are static values showing your support based on kernel configuration and business. If you have an All CVM Attended POS terminal, the byte 1 value for Discover will typically be B6. For the same terminal and kernel, Visa will have a 9F66 byte 1 of 36 (MSR is not supported for Visa). For a typical project where Contactless Issuer Scripting is not supported but Mobile CVM is, the byte 3 value will be 40. Byte 4 is always 00. 
Byte 2 value is not one specific value. Bits 8-7 are transient values, and will change depending on the transaction amount as compared to the CVM and floor limits. For projects with a $0 floor limit, bit 8 will always be set to 1, but bit 7 will still change depending on the transaction amount compared to the CVM limit. Additionally, for Discover byte 2 bit 6 should be set to 1 for an All CVM project to show that offline PIN can be supported in contact transactions. Visa however asks that this bit never be set as offline PIN is never applicable for contactless.</t>
  </si>
  <si>
    <t>Client</t>
  </si>
  <si>
    <t>Visa ADVT Test Case 01d</t>
  </si>
  <si>
    <t>Barri Financial</t>
  </si>
  <si>
    <t>Pedro</t>
  </si>
  <si>
    <t>Test Case 01 (b)</t>
  </si>
  <si>
    <t>Test Case 15</t>
  </si>
  <si>
    <t>Test Case 16</t>
  </si>
  <si>
    <t>Test Case 17</t>
  </si>
  <si>
    <t>Test Case 21</t>
  </si>
  <si>
    <t>Test Case 23</t>
  </si>
  <si>
    <t>Test Case 24a</t>
  </si>
  <si>
    <t>Test Case 24b</t>
  </si>
  <si>
    <t>4F (recommended), 84 (blank value), 9A (sent but format incorrect), 5F24 (only required if card sends), 5F34 (only required if card sends), 9F02 (format incorrect), 9F03, 9F06, 9F09, 9F35, 9F37 (blank value), 9F39 tags missing or invalid values.</t>
  </si>
  <si>
    <t>Tag 95 shows ICC and terminal have different versions- 9F09 in terminal does not match 9F08 in card (Visa value for 9F09 can be either 0096 or 008C).</t>
  </si>
  <si>
    <t>9A tag is 4 bytes long, but required to be 3 (YY MM DD).</t>
  </si>
  <si>
    <t>Tag 8A and tag 91 values are blank from terminal to card in 2nd Gen AC, but tag values are present in host response- these values should be copied over exactly when sent to card.</t>
  </si>
  <si>
    <t>DE60 position 2 should be 5 for ICC (chip) capable, currently set to 7 for cntls magstripe only.</t>
  </si>
  <si>
    <t>5/29: Resolved</t>
  </si>
  <si>
    <t>5/29: Reviewed config- 9F09 set correctly (visa dual value capability causing tag 95 flag)</t>
  </si>
  <si>
    <t>5/30: Tags updated/added</t>
  </si>
  <si>
    <t>5/30: Resolved</t>
  </si>
  <si>
    <t>Followup Notes</t>
  </si>
  <si>
    <t>Need receipts</t>
  </si>
  <si>
    <t>5/29: Will work on receipts later on</t>
  </si>
  <si>
    <t>5/30: Passing</t>
  </si>
  <si>
    <t>Visa ADVT Test Case 08</t>
  </si>
  <si>
    <t>Fallback transaction auto cancelled after fallback prompt, terminal not handeling RC42 for fallback.</t>
  </si>
  <si>
    <t>5/30: Cancelled after fallback prompt, terminal not handeling RC42 for fallback.</t>
  </si>
  <si>
    <t>Test Case 13</t>
  </si>
  <si>
    <t>M-TIP03-USM.Test.01.Scenario.02</t>
  </si>
  <si>
    <t>M-TIP05-USM.Test.01.Scenario.01</t>
  </si>
  <si>
    <t>M-TIP05-USM.Test.04.Scenario.01</t>
  </si>
  <si>
    <t>M-TIP05-USM.Test.05.Scenario.01</t>
  </si>
  <si>
    <t>M-TIP05-USM.Test.06.Scenario.01</t>
  </si>
  <si>
    <t>M-TIP06.Test.13.Scenario.01</t>
  </si>
  <si>
    <t>M-TIP13-USM.Test.01.Scenario.01</t>
  </si>
  <si>
    <t>M-TIP24.Test.01.Scenario.01</t>
  </si>
  <si>
    <t>M-TIP51.Test.01.Scenario.02</t>
  </si>
  <si>
    <t>M-TIP51.Test.02.Scenario.02</t>
  </si>
  <si>
    <t>E2E CL 25</t>
  </si>
  <si>
    <t>E2E CL 34</t>
  </si>
  <si>
    <t>E2E 09</t>
  </si>
  <si>
    <t>E2E 12</t>
  </si>
  <si>
    <t>E2E 29</t>
  </si>
  <si>
    <t>5/31: Sent email to Verifone for advice</t>
  </si>
  <si>
    <t>All test cases</t>
  </si>
  <si>
    <t>5/31: Passing
5/31: Response code of unable to go online, while there is a host response</t>
  </si>
  <si>
    <t>5/31: Passing</t>
  </si>
  <si>
    <t>BTT bypassing online approval checks despite 9F27=40, failing check for offline approval.</t>
  </si>
  <si>
    <t>Validation Team</t>
  </si>
  <si>
    <t>Visa ADVT Test Case 17</t>
  </si>
  <si>
    <t>Transaction sent POSEntry mode as 50 instead of 05, so no EMV data and DE60 value is reverted to 7 instead of 5.</t>
  </si>
  <si>
    <t>Visa ADVT Test Case 16</t>
  </si>
  <si>
    <t>ODA Failure</t>
  </si>
  <si>
    <t>Update 5/31: Passing
5/31: CVN showing Issuer Auth failure.</t>
  </si>
  <si>
    <t>Visa ADVT Test Case 01d
Visa ADVT Test Case 15</t>
  </si>
  <si>
    <t>Visa ADVT Test Case 24b</t>
  </si>
  <si>
    <t>CVR failing Issuer authentication</t>
  </si>
  <si>
    <t>5/31: Updated BTT version, resolved</t>
  </si>
  <si>
    <t>Colin M</t>
  </si>
  <si>
    <t>Susan S</t>
  </si>
  <si>
    <t>Pedro R</t>
  </si>
  <si>
    <t>Kirstyn R/Sahitya P</t>
  </si>
  <si>
    <t>Update 5/31: Fixing 8A/91 tags resolved card log check issue- passing
5/31: BTT bypassing online approval checks despite 9F27=40, failing check for offline approval. 8A and 91 tags 00 filled in second Gen AC.</t>
  </si>
  <si>
    <t>5/31: Question out to Verifone</t>
  </si>
  <si>
    <t>Update 5/30: Passing
5/29: 4F (recommended), 84 (blank value), 9A (sent but format incorrect), 5F24 (only required if card sends), 5F34 (only required if card sends), 9F02 (format incorrect), 9F03, 9F06, 9F09, 9F35, 9F37 (blank value), 9F39 tags missing or invalid values. Tag 95 shows SDA failed- check that CAPK with index 92 is in config and valid. Tag 95 shows ICC and terminal have different versions- 9F09 in terminal does not match 9F08 in card (Visa value for 9F09 can be either 0096 or 008C). 9A tag is 4 bytes long, but required to be 3 (YY MM DD). Tag 8A and tag 91 values are blank from terminal to card in 2nd Gen AC, but tag values are present in host response- these values should be copied over exactly when sent to card. DE60 position 2 should be 5 for ICC (chip) capable, currently set to 7 for cntls magstripe only.</t>
  </si>
  <si>
    <t>5/31: Passing
5/31: DDA Failed</t>
  </si>
  <si>
    <t>5/30: Resolved- updated expiration date of CAPK index 92
5/31: Updated index 94</t>
  </si>
  <si>
    <t>5/31: Contacted UL team
Update 5/31: Resolved 8A/91 value error, which fixed this issue.</t>
  </si>
  <si>
    <t>Visa ADVT Test Case 01d
Visa ADVT Test Case 16
Visa ADVT Test Case 17</t>
  </si>
  <si>
    <t>5/30: Resolved for Visa credit AID
5/31: Need to update Interlink and Electron AIDs with fix</t>
  </si>
  <si>
    <t>5/31: Checking POS Entry mode to ensure it is sent as 05.
6/1: Resolved</t>
  </si>
  <si>
    <t>6/1: PIN block not sent, transaction sent as 100 but must be 200.</t>
  </si>
  <si>
    <t>M-TIP05-USM.Test.08.Scenario.01</t>
  </si>
  <si>
    <t>6/4: Passing
6/1: Transaction sent as 100 message instead of 200, no PIN block sent
5/31: Transaction sent POSEntry mode as 50 instead of 05, so no EMV data and DE60 value is reverted to 7 instead of 5. 8A and 91 tags 00 filled in second Gen AC.</t>
  </si>
  <si>
    <t>6/4: Passing</t>
  </si>
  <si>
    <t>6/1: Updating POS XPI to handle 9FA005 PIN block data from PINpad
6/4: Resolved</t>
  </si>
  <si>
    <t>Cashback not prompted</t>
  </si>
  <si>
    <t>6/4: In S21 commmand, must enable cashback prompt
Update 6/4: Cashback prompted, 9F03 is 00s and 9C is 00. Must additionally send 9F03= cashback amount, and 9C as 09 for purchase with cashback. 9F02/DE4 must be total (purchase+cashback).
Update 6/4: Tags updated in card log and DE4/9F02/03 updated in host. In front end, DE03 SE1 should be 09, DE54 must show additional amount data, and 9C within DE55 must be 09.
Update 6/4: Passing, but FD sends transaction as credit so no DE54</t>
  </si>
  <si>
    <t>6/4: Sent as credit by FD</t>
  </si>
  <si>
    <t>US Common sent as credit with PIN, not routed to Debit by FD</t>
  </si>
  <si>
    <t>FD</t>
  </si>
  <si>
    <t>ADVT 1A.1
ADVT 1A.2
ADVT 1A.4</t>
  </si>
  <si>
    <t>Unpredticable number</t>
  </si>
  <si>
    <t>A3 BC 4B 43</t>
  </si>
  <si>
    <t>9D04F6E1</t>
  </si>
  <si>
    <t>5/30: Passing,5F24,9F1E,</t>
  </si>
  <si>
    <t>89149B98</t>
  </si>
  <si>
    <t>EE C4 74 21</t>
  </si>
  <si>
    <t xml:space="preserve"> C8 CD 66 9A
</t>
  </si>
  <si>
    <t>1A 26 93 C1</t>
  </si>
  <si>
    <t>05 37 EB DC</t>
  </si>
  <si>
    <t> 48 BD EC A4</t>
  </si>
  <si>
    <t>F2 E5 8C 28</t>
  </si>
  <si>
    <t> C6 CA 72 99</t>
  </si>
  <si>
    <t>M-TIP12-USM.Test.12.Scenario.01</t>
  </si>
  <si>
    <t>M-TIP31.Test.01.Scenario.01</t>
  </si>
  <si>
    <t>10/04: Receipt pending</t>
  </si>
  <si>
    <t>10/04: Waiver is applied</t>
  </si>
  <si>
    <t>10/04: Pending receipt</t>
  </si>
  <si>
    <t>10/04: No hostlog, please re-run</t>
  </si>
  <si>
    <t xml:space="preserve">10/04: Pin was bypassed. </t>
  </si>
  <si>
    <t>10/04:No hostlog</t>
  </si>
  <si>
    <t>10/04: There is an applicable waiver</t>
  </si>
  <si>
    <t xml:space="preserve">10/04: Expecting CB to be performed. </t>
  </si>
  <si>
    <t xml:space="preserve">10/04: Review the failure in cert pro </t>
  </si>
  <si>
    <t>10/04: Manually validated</t>
  </si>
  <si>
    <t>10/04: Confirm what your floor limit is. Expecting a Tc</t>
  </si>
  <si>
    <t>10/04: No hostlog</t>
  </si>
  <si>
    <t>10/04: No hostlog. Please re-run</t>
  </si>
  <si>
    <t xml:space="preserve">                                                                              </t>
  </si>
  <si>
    <t>E2E 33</t>
  </si>
  <si>
    <t>AXP EMV 001</t>
  </si>
  <si>
    <t>AXP EMV 002</t>
  </si>
  <si>
    <t>AXP EMV 003</t>
  </si>
  <si>
    <t>AXP EMV 004</t>
  </si>
  <si>
    <t>AXP EMV 005</t>
  </si>
  <si>
    <t>AXP EMV 006</t>
  </si>
  <si>
    <t>AXP EMV 007</t>
  </si>
  <si>
    <t>AXP EMV 008</t>
  </si>
  <si>
    <t>AXP EMV 010</t>
  </si>
  <si>
    <t>AXP EMV 011</t>
  </si>
  <si>
    <t>AXP EMV 012</t>
  </si>
  <si>
    <t>AXP EMV 013</t>
  </si>
  <si>
    <t xml:space="preserve">AXP EMV 014 </t>
  </si>
  <si>
    <t xml:space="preserve">AXP EMV 015 </t>
  </si>
  <si>
    <t xml:space="preserve">AXP EMV 016 </t>
  </si>
  <si>
    <t xml:space="preserve">AXP EMV 017.2 </t>
  </si>
  <si>
    <t xml:space="preserve">AXP EMV 018 </t>
  </si>
  <si>
    <t xml:space="preserve">AXP EMV 019 </t>
  </si>
  <si>
    <t xml:space="preserve">AXP EMV 020 </t>
  </si>
  <si>
    <t xml:space="preserve">AXP EMV 021 </t>
  </si>
  <si>
    <t xml:space="preserve">AXP EMV 023 </t>
  </si>
  <si>
    <t xml:space="preserve">AXP EMV 026 </t>
  </si>
  <si>
    <t xml:space="preserve">AXP EMV 027 </t>
  </si>
  <si>
    <t xml:space="preserve">AXP EMV 028 </t>
  </si>
  <si>
    <t xml:space="preserve">AXP EMV 029 </t>
  </si>
  <si>
    <t>AXP EMV 030</t>
  </si>
  <si>
    <t xml:space="preserve">AXP EMV 032 </t>
  </si>
  <si>
    <t xml:space="preserve">AXP EMV 034 </t>
  </si>
  <si>
    <t xml:space="preserve">AXP EMV 035 </t>
  </si>
  <si>
    <t xml:space="preserve">AXP EMV 036 </t>
  </si>
  <si>
    <t>AXP EMV 039</t>
  </si>
  <si>
    <t xml:space="preserve">AXP MAG 002 </t>
  </si>
  <si>
    <t xml:space="preserve">AXP RCP 001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</si>
</sst>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d/yyyy;@"/>
    <numFmt numFmtId="165" formatCode="0.0%"/>
  </numFmts>
  <fonts count="22"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theme="0"/>
      <name val="Calibri"/>
      <family val="2"/>
      <scheme val="minor"/>
    </font>
    <font>
      <sz val="11"/>
      <name val="Calibri"/>
      <family val="2"/>
      <scheme val="minor"/>
    </font>
    <font>
      <b/>
      <sz val="10"/>
      <color theme="0"/>
      <name val="Arial"/>
      <family val="2"/>
    </font>
    <font>
      <sz val="11"/>
      <color theme="0"/>
      <name val="Calibri"/>
      <family val="2"/>
      <scheme val="minor"/>
    </font>
    <font>
      <sz val="26"/>
      <color theme="1"/>
      <name val="Calibri"/>
      <family val="2"/>
      <scheme val="minor"/>
    </font>
    <font>
      <b/>
      <sz val="11"/>
      <color rgb="FF9C0006"/>
      <name val="Calibri"/>
      <family val="2"/>
      <scheme val="minor"/>
    </font>
    <font>
      <b/>
      <sz val="11"/>
      <color rgb="FF9C6500"/>
      <name val="Calibri"/>
      <family val="2"/>
      <scheme val="minor"/>
    </font>
    <font>
      <b/>
      <sz val="11"/>
      <color rgb="FF006100"/>
      <name val="Calibri"/>
      <family val="2"/>
      <scheme val="minor"/>
    </font>
    <font>
      <sz val="11"/>
      <color theme="8" tint="-0.499984740745262"/>
      <name val="Calibri"/>
      <family val="2"/>
      <scheme val="minor"/>
    </font>
    <font>
      <b/>
      <u/>
      <sz val="11"/>
      <color rgb="FFC00000"/>
      <name val="Calibri"/>
      <family val="2"/>
      <scheme val="minor"/>
    </font>
    <font>
      <b/>
      <sz val="14"/>
      <color theme="1"/>
      <name val="Calibri"/>
      <family val="2"/>
      <scheme val="minor"/>
    </font>
    <font>
      <b/>
      <sz val="11"/>
      <color theme="1"/>
      <name val="Calibri"/>
      <family val="2"/>
      <scheme val="minor"/>
    </font>
    <font>
      <sz val="11"/>
      <color theme="0" tint="-0.34998626667073579"/>
      <name val="Calibri"/>
      <family val="2"/>
      <scheme val="minor"/>
    </font>
    <font>
      <b/>
      <sz val="11"/>
      <color rgb="FFFF0000"/>
      <name val="Calibri"/>
      <family val="2"/>
      <scheme val="minor"/>
    </font>
    <font>
      <strike/>
      <sz val="11"/>
      <color theme="0" tint="-0.34998626667073579"/>
      <name val="Calibri"/>
      <family val="2"/>
      <scheme val="minor"/>
    </font>
    <font>
      <b/>
      <sz val="11"/>
      <color theme="0"/>
      <name val="Calibri"/>
      <family val="2"/>
      <scheme val="minor"/>
    </font>
    <font>
      <sz val="7"/>
      <color rgb="FF000000"/>
      <name val="Courier New"/>
      <family val="3"/>
    </font>
    <font>
      <sz val="7"/>
      <color rgb="FF333333"/>
      <name val="Open Sans"/>
      <family val="2"/>
    </font>
  </fonts>
  <fills count="1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C0000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rgb="FFFFFF00"/>
        <bgColor indexed="64"/>
      </patternFill>
    </fill>
    <fill>
      <patternFill patternType="solid">
        <fgColor rgb="FFFF6A47"/>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0" tint="-0.34998626667073579"/>
        <bgColor indexed="64"/>
      </patternFill>
    </fill>
  </fills>
  <borders count="67">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
      <left style="thin">
        <color indexed="64"/>
      </left>
      <right style="medium">
        <color indexed="64"/>
      </right>
      <top/>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4">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cellStyleXfs>
  <cellXfs count="297">
    <xf numFmtId="0" fontId="0" fillId="0" borderId="0" xfId="0"/>
    <xf numFmtId="0" fontId="1" fillId="2" borderId="0" xfId="1"/>
    <xf numFmtId="0" fontId="2" fillId="3" borderId="0" xfId="2"/>
    <xf numFmtId="0" fontId="3" fillId="4" borderId="0" xfId="3"/>
    <xf numFmtId="0" fontId="4" fillId="5" borderId="0" xfId="0" applyFont="1" applyFill="1"/>
    <xf numFmtId="0" fontId="0" fillId="0" borderId="0" xfId="0" applyAlignment="1">
      <alignment wrapText="1"/>
    </xf>
    <xf numFmtId="0" fontId="4" fillId="5" borderId="0" xfId="0" applyFont="1" applyFill="1" applyAlignment="1">
      <alignment wrapText="1"/>
    </xf>
    <xf numFmtId="0" fontId="5" fillId="0" borderId="0" xfId="0" applyFont="1" applyFill="1" applyAlignment="1">
      <alignment wrapText="1"/>
    </xf>
    <xf numFmtId="0" fontId="0" fillId="0" borderId="0" xfId="0" applyFill="1" applyAlignment="1">
      <alignment wrapText="1"/>
    </xf>
    <xf numFmtId="14" fontId="0" fillId="0" borderId="0" xfId="0" applyNumberFormat="1"/>
    <xf numFmtId="2" fontId="0" fillId="0" borderId="0" xfId="0" applyNumberFormat="1"/>
    <xf numFmtId="0" fontId="0" fillId="0" borderId="0" xfId="0" applyAlignment="1">
      <alignment horizontal="center" vertical="center"/>
    </xf>
    <xf numFmtId="0" fontId="0" fillId="0" borderId="0" xfId="0" applyAlignment="1"/>
    <xf numFmtId="0" fontId="6" fillId="5" borderId="1" xfId="0" applyFont="1" applyFill="1" applyBorder="1" applyAlignment="1">
      <alignment horizontal="left" vertical="center" wrapText="1"/>
    </xf>
    <xf numFmtId="0" fontId="0" fillId="0" borderId="2" xfId="0" applyBorder="1"/>
    <xf numFmtId="0" fontId="6" fillId="5" borderId="0" xfId="0" applyFont="1" applyFill="1" applyBorder="1" applyAlignment="1">
      <alignment horizontal="left" vertical="center" wrapText="1"/>
    </xf>
    <xf numFmtId="0" fontId="6" fillId="5" borderId="2" xfId="0" applyFont="1" applyFill="1" applyBorder="1" applyAlignment="1">
      <alignment horizontal="left" vertical="center" wrapText="1"/>
    </xf>
    <xf numFmtId="0" fontId="0" fillId="5" borderId="2" xfId="0" applyFill="1" applyBorder="1"/>
    <xf numFmtId="164" fontId="0" fillId="0" borderId="0" xfId="0" applyNumberFormat="1"/>
    <xf numFmtId="0" fontId="6" fillId="6" borderId="1" xfId="0" applyFont="1" applyFill="1" applyBorder="1" applyAlignment="1">
      <alignment horizontal="left" vertical="center" wrapText="1"/>
    </xf>
    <xf numFmtId="0" fontId="6" fillId="6" borderId="2" xfId="0" applyFont="1" applyFill="1" applyBorder="1" applyAlignment="1">
      <alignment horizontal="left" vertical="center" wrapText="1"/>
    </xf>
    <xf numFmtId="164" fontId="0" fillId="0" borderId="0" xfId="0" applyNumberFormat="1" applyAlignment="1">
      <alignment horizontal="left"/>
    </xf>
    <xf numFmtId="0" fontId="0" fillId="0" borderId="3" xfId="0" applyFont="1" applyBorder="1"/>
    <xf numFmtId="0" fontId="0" fillId="0" borderId="0" xfId="0" applyAlignment="1">
      <alignment horizontal="left"/>
    </xf>
    <xf numFmtId="0" fontId="6" fillId="6" borderId="4" xfId="0" applyFont="1" applyFill="1" applyBorder="1" applyAlignment="1">
      <alignment horizontal="center" vertical="top" wrapText="1"/>
    </xf>
    <xf numFmtId="0" fontId="11" fillId="2" borderId="4" xfId="1" applyFont="1" applyFill="1" applyBorder="1" applyAlignment="1">
      <alignment horizontal="left" vertical="top" wrapText="1"/>
    </xf>
    <xf numFmtId="0" fontId="9" fillId="3" borderId="4" xfId="2" applyFont="1" applyFill="1" applyBorder="1" applyAlignment="1">
      <alignment horizontal="left" vertical="top" wrapText="1"/>
    </xf>
    <xf numFmtId="0" fontId="10" fillId="4" borderId="4" xfId="3" applyFont="1" applyFill="1" applyBorder="1" applyAlignment="1">
      <alignment horizontal="left" vertical="top" wrapText="1"/>
    </xf>
    <xf numFmtId="0" fontId="6" fillId="6" borderId="5" xfId="0" applyFont="1" applyFill="1" applyBorder="1" applyAlignment="1">
      <alignment horizontal="left" vertical="top" wrapText="1"/>
    </xf>
    <xf numFmtId="0" fontId="0" fillId="0" borderId="4" xfId="0" applyFont="1" applyBorder="1"/>
    <xf numFmtId="0" fontId="1" fillId="2" borderId="4" xfId="1" applyFont="1" applyFill="1" applyBorder="1" applyAlignment="1">
      <alignment horizontal="left"/>
    </xf>
    <xf numFmtId="0" fontId="2" fillId="3" borderId="4" xfId="2" applyFont="1" applyFill="1" applyBorder="1" applyAlignment="1">
      <alignment horizontal="left"/>
    </xf>
    <xf numFmtId="0" fontId="3" fillId="4" borderId="4" xfId="3" applyFont="1" applyFill="1" applyBorder="1" applyAlignment="1">
      <alignment horizontal="left"/>
    </xf>
    <xf numFmtId="0" fontId="0" fillId="0" borderId="5" xfId="0" applyFont="1" applyBorder="1" applyAlignment="1">
      <alignment horizontal="left"/>
    </xf>
    <xf numFmtId="0" fontId="1" fillId="2" borderId="3" xfId="1" applyFont="1" applyFill="1" applyBorder="1" applyAlignment="1">
      <alignment horizontal="left"/>
    </xf>
    <xf numFmtId="0" fontId="2" fillId="3" borderId="3" xfId="2" applyFont="1" applyFill="1" applyBorder="1" applyAlignment="1">
      <alignment horizontal="left"/>
    </xf>
    <xf numFmtId="0" fontId="3" fillId="4" borderId="3" xfId="3" applyFont="1" applyFill="1" applyBorder="1" applyAlignment="1">
      <alignment horizontal="left"/>
    </xf>
    <xf numFmtId="0" fontId="0" fillId="0" borderId="2" xfId="0" applyFont="1" applyBorder="1" applyAlignment="1">
      <alignment horizontal="left"/>
    </xf>
    <xf numFmtId="0" fontId="7" fillId="0" borderId="0" xfId="0" applyFont="1"/>
    <xf numFmtId="165" fontId="0" fillId="0" borderId="0" xfId="0" applyNumberFormat="1" applyAlignment="1">
      <alignment horizontal="left"/>
    </xf>
    <xf numFmtId="1" fontId="0" fillId="0" borderId="0" xfId="0" applyNumberFormat="1" applyAlignment="1">
      <alignment horizontal="left"/>
    </xf>
    <xf numFmtId="0" fontId="0" fillId="0" borderId="2" xfId="0" applyFill="1" applyBorder="1" applyProtection="1">
      <protection locked="0"/>
    </xf>
    <xf numFmtId="0" fontId="0" fillId="0" borderId="2" xfId="0" applyBorder="1" applyProtection="1">
      <protection locked="0"/>
    </xf>
    <xf numFmtId="164" fontId="0" fillId="0" borderId="2" xfId="0" applyNumberFormat="1" applyBorder="1" applyProtection="1">
      <protection locked="0"/>
    </xf>
    <xf numFmtId="14" fontId="0" fillId="0" borderId="2" xfId="0" applyNumberFormat="1" applyFill="1" applyBorder="1" applyProtection="1">
      <protection locked="0"/>
    </xf>
    <xf numFmtId="164" fontId="0" fillId="9" borderId="2" xfId="0" applyNumberFormat="1" applyFill="1" applyBorder="1"/>
    <xf numFmtId="0" fontId="13" fillId="0" borderId="0" xfId="0" applyFont="1" applyAlignment="1">
      <alignment wrapText="1"/>
    </xf>
    <xf numFmtId="0" fontId="0" fillId="0" borderId="0" xfId="0" applyAlignment="1">
      <alignment vertical="top"/>
    </xf>
    <xf numFmtId="0" fontId="0" fillId="9" borderId="0" xfId="0" applyFill="1" applyAlignment="1">
      <alignment wrapText="1"/>
    </xf>
    <xf numFmtId="0" fontId="14" fillId="9" borderId="0" xfId="0" applyFont="1" applyFill="1" applyAlignment="1">
      <alignment wrapText="1"/>
    </xf>
    <xf numFmtId="0" fontId="4" fillId="10" borderId="2" xfId="0" applyFont="1" applyFill="1" applyBorder="1" applyAlignment="1">
      <alignment horizontal="center"/>
    </xf>
    <xf numFmtId="0" fontId="1" fillId="2" borderId="0" xfId="1" applyProtection="1">
      <protection locked="0"/>
    </xf>
    <xf numFmtId="165" fontId="1" fillId="2" borderId="0" xfId="1" applyNumberFormat="1" applyProtection="1">
      <protection locked="0"/>
    </xf>
    <xf numFmtId="0" fontId="5" fillId="7" borderId="0" xfId="2" applyFont="1" applyFill="1" applyProtection="1">
      <protection locked="0"/>
    </xf>
    <xf numFmtId="165" fontId="5" fillId="7" borderId="0" xfId="2" applyNumberFormat="1" applyFont="1" applyFill="1" applyProtection="1">
      <protection locked="0"/>
    </xf>
    <xf numFmtId="0" fontId="12" fillId="8" borderId="0" xfId="1" applyFont="1" applyFill="1" applyAlignment="1" applyProtection="1">
      <alignment wrapText="1"/>
      <protection locked="0"/>
    </xf>
    <xf numFmtId="1" fontId="12" fillId="8" borderId="0" xfId="1" applyNumberFormat="1" applyFont="1" applyFill="1" applyAlignment="1" applyProtection="1">
      <alignment horizontal="left"/>
      <protection locked="0"/>
    </xf>
    <xf numFmtId="1" fontId="5" fillId="7" borderId="0" xfId="2" applyNumberFormat="1" applyFont="1" applyFill="1" applyAlignment="1" applyProtection="1">
      <alignment horizontal="left"/>
      <protection locked="0"/>
    </xf>
    <xf numFmtId="0" fontId="0" fillId="0" borderId="0" xfId="0" applyProtection="1">
      <protection locked="0"/>
    </xf>
    <xf numFmtId="0" fontId="0" fillId="0" borderId="0" xfId="0" applyAlignment="1" applyProtection="1">
      <alignment horizontal="center" vertical="center"/>
      <protection locked="0"/>
    </xf>
    <xf numFmtId="0" fontId="0" fillId="11" borderId="0" xfId="0" applyFill="1"/>
    <xf numFmtId="0" fontId="0" fillId="9" borderId="9" xfId="0" applyFill="1" applyBorder="1" applyAlignment="1">
      <alignment vertical="top"/>
    </xf>
    <xf numFmtId="0" fontId="0" fillId="9" borderId="10" xfId="0" applyFill="1" applyBorder="1" applyAlignment="1">
      <alignment horizontal="center" vertical="top" wrapText="1"/>
    </xf>
    <xf numFmtId="0" fontId="0" fillId="9" borderId="10" xfId="0" applyFill="1" applyBorder="1"/>
    <xf numFmtId="0" fontId="0" fillId="9" borderId="7" xfId="0" applyFill="1" applyBorder="1"/>
    <xf numFmtId="0" fontId="0" fillId="9" borderId="6" xfId="0" applyFill="1" applyBorder="1" applyAlignment="1">
      <alignment wrapText="1"/>
    </xf>
    <xf numFmtId="0" fontId="0" fillId="9" borderId="11" xfId="0" applyFill="1" applyBorder="1"/>
    <xf numFmtId="0" fontId="5" fillId="0" borderId="12" xfId="0" applyFont="1" applyBorder="1" applyAlignment="1">
      <alignment vertical="top"/>
    </xf>
    <xf numFmtId="0" fontId="5" fillId="0" borderId="16" xfId="0" applyFont="1" applyBorder="1" applyAlignment="1">
      <alignment horizontal="center"/>
    </xf>
    <xf numFmtId="0" fontId="5" fillId="13" borderId="17" xfId="0" applyFont="1" applyFill="1" applyBorder="1" applyAlignment="1">
      <alignment vertical="top"/>
    </xf>
    <xf numFmtId="0" fontId="16" fillId="13" borderId="2" xfId="0" applyFont="1" applyFill="1" applyBorder="1" applyAlignment="1">
      <alignment horizontal="left" vertical="top" wrapText="1"/>
    </xf>
    <xf numFmtId="14" fontId="16" fillId="13" borderId="2" xfId="0" applyNumberFormat="1" applyFont="1" applyFill="1" applyBorder="1" applyAlignment="1">
      <alignment horizontal="left" vertical="top"/>
    </xf>
    <xf numFmtId="14" fontId="16" fillId="13" borderId="3" xfId="0" applyNumberFormat="1" applyFont="1" applyFill="1" applyBorder="1" applyAlignment="1">
      <alignment horizontal="left" vertical="top"/>
    </xf>
    <xf numFmtId="0" fontId="16" fillId="13" borderId="3" xfId="0" applyFont="1" applyFill="1" applyBorder="1" applyAlignment="1">
      <alignment horizontal="left" vertical="top" wrapText="1"/>
    </xf>
    <xf numFmtId="0" fontId="5" fillId="13" borderId="18" xfId="0" applyFont="1" applyFill="1" applyBorder="1" applyAlignment="1">
      <alignment horizontal="center"/>
    </xf>
    <xf numFmtId="0" fontId="5" fillId="0" borderId="17" xfId="0" applyFont="1" applyBorder="1" applyAlignment="1">
      <alignment vertical="top"/>
    </xf>
    <xf numFmtId="0" fontId="16" fillId="0" borderId="2" xfId="0" applyFont="1" applyBorder="1" applyAlignment="1">
      <alignment horizontal="left" vertical="top" wrapText="1"/>
    </xf>
    <xf numFmtId="14" fontId="16" fillId="0" borderId="2" xfId="0" applyNumberFormat="1" applyFont="1" applyBorder="1" applyAlignment="1">
      <alignment horizontal="left" vertical="top"/>
    </xf>
    <xf numFmtId="0" fontId="5" fillId="0" borderId="18" xfId="0" applyFont="1" applyBorder="1" applyAlignment="1">
      <alignment horizontal="center"/>
    </xf>
    <xf numFmtId="0" fontId="5" fillId="13" borderId="19" xfId="0" applyFont="1" applyFill="1" applyBorder="1" applyAlignment="1">
      <alignment vertical="top"/>
    </xf>
    <xf numFmtId="14" fontId="16" fillId="13" borderId="2" xfId="0" applyNumberFormat="1" applyFont="1" applyFill="1" applyBorder="1" applyAlignment="1">
      <alignment horizontal="left" vertical="top" wrapText="1"/>
    </xf>
    <xf numFmtId="0" fontId="5" fillId="0" borderId="19" xfId="0" applyFont="1" applyFill="1" applyBorder="1" applyAlignment="1">
      <alignment vertical="top"/>
    </xf>
    <xf numFmtId="0" fontId="5" fillId="0" borderId="18" xfId="0" applyFont="1" applyFill="1" applyBorder="1" applyAlignment="1">
      <alignment horizontal="center"/>
    </xf>
    <xf numFmtId="0" fontId="5" fillId="0" borderId="23" xfId="0" applyFont="1" applyFill="1" applyBorder="1" applyAlignment="1">
      <alignment horizontal="center"/>
    </xf>
    <xf numFmtId="0" fontId="5" fillId="0" borderId="17" xfId="0" applyFont="1" applyFill="1" applyBorder="1" applyAlignment="1">
      <alignment vertical="top"/>
    </xf>
    <xf numFmtId="0" fontId="0" fillId="0" borderId="17" xfId="0" applyBorder="1" applyAlignment="1">
      <alignment vertical="top"/>
    </xf>
    <xf numFmtId="0" fontId="0" fillId="13" borderId="17" xfId="0" applyFill="1" applyBorder="1" applyAlignment="1">
      <alignment vertical="top"/>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14" fontId="5" fillId="0" borderId="2" xfId="0" applyNumberFormat="1" applyFont="1" applyBorder="1" applyAlignment="1">
      <alignment horizontal="left" vertical="top"/>
    </xf>
    <xf numFmtId="0" fontId="5" fillId="13" borderId="1" xfId="0" applyFont="1" applyFill="1" applyBorder="1" applyAlignment="1">
      <alignment horizontal="left" vertical="top" wrapText="1"/>
    </xf>
    <xf numFmtId="0" fontId="5" fillId="13" borderId="2" xfId="0" applyFont="1" applyFill="1" applyBorder="1" applyAlignment="1">
      <alignment horizontal="left" vertical="top" wrapText="1"/>
    </xf>
    <xf numFmtId="14" fontId="5" fillId="13" borderId="2" xfId="0" applyNumberFormat="1" applyFont="1" applyFill="1" applyBorder="1" applyAlignment="1">
      <alignment horizontal="left" vertical="top"/>
    </xf>
    <xf numFmtId="0" fontId="0" fillId="13" borderId="24" xfId="0" applyFill="1" applyBorder="1" applyAlignment="1">
      <alignment vertical="top"/>
    </xf>
    <xf numFmtId="0" fontId="5" fillId="13" borderId="25" xfId="0" applyFont="1" applyFill="1" applyBorder="1" applyAlignment="1">
      <alignment horizontal="left" vertical="top" wrapText="1"/>
    </xf>
    <xf numFmtId="0" fontId="5" fillId="13" borderId="26" xfId="0" applyFont="1" applyFill="1" applyBorder="1" applyAlignment="1">
      <alignment horizontal="left" vertical="top" wrapText="1"/>
    </xf>
    <xf numFmtId="14" fontId="5" fillId="13" borderId="26" xfId="0" applyNumberFormat="1" applyFont="1" applyFill="1" applyBorder="1" applyAlignment="1">
      <alignment horizontal="left" vertical="top"/>
    </xf>
    <xf numFmtId="0" fontId="5" fillId="13" borderId="27" xfId="0" applyFont="1" applyFill="1" applyBorder="1" applyAlignment="1">
      <alignment horizontal="center"/>
    </xf>
    <xf numFmtId="0" fontId="5" fillId="13" borderId="21"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 xfId="0" applyFont="1" applyFill="1" applyBorder="1" applyAlignment="1">
      <alignment horizontal="left" vertical="top" wrapText="1"/>
    </xf>
    <xf numFmtId="0" fontId="0" fillId="9" borderId="28" xfId="0" applyFill="1" applyBorder="1"/>
    <xf numFmtId="0" fontId="0" fillId="9" borderId="29" xfId="0" applyFill="1" applyBorder="1" applyAlignment="1">
      <alignment wrapText="1"/>
    </xf>
    <xf numFmtId="0" fontId="0" fillId="9" borderId="29" xfId="0" applyFill="1" applyBorder="1"/>
    <xf numFmtId="0" fontId="0" fillId="0" borderId="31" xfId="0" applyBorder="1" applyAlignment="1">
      <alignment horizontal="left" vertical="top" wrapText="1"/>
    </xf>
    <xf numFmtId="0" fontId="0" fillId="0" borderId="32" xfId="0" applyBorder="1"/>
    <xf numFmtId="0" fontId="0" fillId="0" borderId="31" xfId="0" applyBorder="1"/>
    <xf numFmtId="0" fontId="0" fillId="0" borderId="17" xfId="0" applyBorder="1"/>
    <xf numFmtId="0" fontId="0" fillId="0" borderId="33" xfId="0" applyBorder="1" applyAlignment="1">
      <alignment horizontal="left" vertical="top" wrapText="1"/>
    </xf>
    <xf numFmtId="0" fontId="0" fillId="0" borderId="21" xfId="0" applyBorder="1"/>
    <xf numFmtId="0" fontId="0" fillId="0" borderId="17" xfId="0" applyBorder="1" applyAlignment="1">
      <alignment horizontal="left" vertical="top" wrapText="1"/>
    </xf>
    <xf numFmtId="0" fontId="0" fillId="0" borderId="21" xfId="0" applyFill="1" applyBorder="1"/>
    <xf numFmtId="0" fontId="0" fillId="0" borderId="0" xfId="0" applyBorder="1"/>
    <xf numFmtId="0" fontId="0" fillId="0" borderId="33" xfId="0" applyBorder="1"/>
    <xf numFmtId="0" fontId="0" fillId="0" borderId="35" xfId="0" applyBorder="1"/>
    <xf numFmtId="0" fontId="0" fillId="0" borderId="19" xfId="0" applyBorder="1"/>
    <xf numFmtId="0" fontId="0" fillId="0" borderId="36" xfId="0" applyBorder="1" applyAlignment="1">
      <alignment horizontal="left" vertical="top" wrapText="1"/>
    </xf>
    <xf numFmtId="0" fontId="0" fillId="0" borderId="12" xfId="0" applyBorder="1"/>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9" xfId="0" applyBorder="1" applyAlignment="1">
      <alignment horizontal="left" vertical="top" wrapText="1"/>
    </xf>
    <xf numFmtId="0" fontId="0" fillId="0" borderId="40" xfId="0" applyBorder="1" applyAlignment="1">
      <alignment horizontal="left" vertical="top" wrapText="1"/>
    </xf>
    <xf numFmtId="0" fontId="0" fillId="0" borderId="34" xfId="0" applyBorder="1"/>
    <xf numFmtId="0" fontId="0" fillId="0" borderId="24" xfId="0" applyBorder="1"/>
    <xf numFmtId="0" fontId="0" fillId="0" borderId="36" xfId="0" applyBorder="1" applyAlignment="1">
      <alignment wrapText="1"/>
    </xf>
    <xf numFmtId="0" fontId="0" fillId="0" borderId="38" xfId="0" applyBorder="1" applyAlignment="1">
      <alignment wrapText="1"/>
    </xf>
    <xf numFmtId="0" fontId="0" fillId="0" borderId="17" xfId="0" applyFill="1" applyBorder="1"/>
    <xf numFmtId="0" fontId="0" fillId="0" borderId="39" xfId="0" applyBorder="1" applyAlignment="1">
      <alignment wrapText="1"/>
    </xf>
    <xf numFmtId="0" fontId="0" fillId="0" borderId="33" xfId="0" applyFill="1" applyBorder="1"/>
    <xf numFmtId="0" fontId="0" fillId="0" borderId="41" xfId="0" applyBorder="1" applyAlignment="1">
      <alignment horizontal="left" vertical="top" wrapText="1"/>
    </xf>
    <xf numFmtId="0" fontId="0" fillId="0" borderId="37" xfId="0" applyFill="1" applyBorder="1"/>
    <xf numFmtId="0" fontId="0" fillId="0" borderId="39" xfId="0" applyFill="1" applyBorder="1"/>
    <xf numFmtId="0" fontId="0" fillId="0" borderId="17" xfId="0" applyBorder="1" applyAlignment="1">
      <alignment wrapText="1"/>
    </xf>
    <xf numFmtId="0" fontId="0" fillId="0" borderId="37" xfId="0" applyBorder="1" applyAlignment="1">
      <alignment wrapText="1"/>
    </xf>
    <xf numFmtId="0" fontId="0" fillId="0" borderId="31" xfId="0" applyFill="1" applyBorder="1"/>
    <xf numFmtId="0" fontId="0" fillId="0" borderId="41" xfId="0" applyBorder="1" applyAlignment="1">
      <alignment wrapText="1"/>
    </xf>
    <xf numFmtId="0" fontId="0" fillId="0" borderId="17" xfId="0" applyBorder="1" applyAlignment="1">
      <alignment vertical="top" wrapText="1"/>
    </xf>
    <xf numFmtId="0" fontId="0" fillId="0" borderId="37" xfId="0" applyBorder="1" applyAlignment="1">
      <alignment vertical="top" wrapText="1"/>
    </xf>
    <xf numFmtId="0" fontId="0" fillId="0" borderId="42" xfId="0" applyBorder="1" applyAlignment="1">
      <alignment horizontal="left" vertical="top" wrapText="1"/>
    </xf>
    <xf numFmtId="0" fontId="0" fillId="0" borderId="12" xfId="0" applyBorder="1" applyAlignment="1">
      <alignment wrapText="1"/>
    </xf>
    <xf numFmtId="0" fontId="0" fillId="0" borderId="43" xfId="0" applyBorder="1"/>
    <xf numFmtId="0" fontId="0" fillId="0" borderId="44" xfId="0" applyBorder="1"/>
    <xf numFmtId="0" fontId="0" fillId="0" borderId="31" xfId="0" applyBorder="1" applyAlignment="1">
      <alignment wrapText="1"/>
    </xf>
    <xf numFmtId="0" fontId="0" fillId="0" borderId="45" xfId="0" applyFill="1" applyBorder="1"/>
    <xf numFmtId="0" fontId="0" fillId="0" borderId="46" xfId="0" applyFill="1" applyBorder="1"/>
    <xf numFmtId="0" fontId="0" fillId="0" borderId="45" xfId="0" applyBorder="1"/>
    <xf numFmtId="0" fontId="0" fillId="0" borderId="19" xfId="0" applyBorder="1" applyAlignment="1">
      <alignment wrapText="1"/>
    </xf>
    <xf numFmtId="0" fontId="0" fillId="0" borderId="46" xfId="0" applyBorder="1"/>
    <xf numFmtId="0" fontId="0" fillId="0" borderId="34" xfId="0" applyBorder="1" applyAlignment="1">
      <alignment horizontal="left" vertical="top" wrapText="1"/>
    </xf>
    <xf numFmtId="0" fontId="0" fillId="0" borderId="47" xfId="0" applyBorder="1"/>
    <xf numFmtId="0" fontId="0" fillId="9" borderId="50" xfId="0" applyFill="1" applyBorder="1" applyAlignment="1">
      <alignment horizontal="left" vertical="top" wrapText="1"/>
    </xf>
    <xf numFmtId="0" fontId="0" fillId="9" borderId="51" xfId="0" applyFill="1" applyBorder="1" applyAlignment="1">
      <alignment vertical="top" wrapText="1"/>
    </xf>
    <xf numFmtId="0" fontId="0" fillId="9" borderId="51" xfId="0" applyFill="1" applyBorder="1" applyAlignment="1">
      <alignment vertical="top"/>
    </xf>
    <xf numFmtId="0" fontId="0" fillId="9" borderId="52" xfId="0" applyFill="1" applyBorder="1" applyAlignment="1">
      <alignment vertical="top"/>
    </xf>
    <xf numFmtId="0" fontId="0" fillId="0" borderId="53" xfId="0" applyBorder="1" applyAlignment="1">
      <alignment horizontal="left" vertical="top" wrapText="1"/>
    </xf>
    <xf numFmtId="0" fontId="0" fillId="0" borderId="54" xfId="0" applyBorder="1" applyAlignment="1">
      <alignment vertical="top" wrapText="1"/>
    </xf>
    <xf numFmtId="0" fontId="0" fillId="0" borderId="54" xfId="0" applyBorder="1" applyAlignment="1">
      <alignment vertical="top"/>
    </xf>
    <xf numFmtId="0" fontId="0" fillId="0" borderId="16" xfId="0" applyBorder="1" applyAlignment="1">
      <alignment vertical="top"/>
    </xf>
    <xf numFmtId="0" fontId="0" fillId="13" borderId="55" xfId="0" applyFill="1" applyBorder="1" applyAlignment="1">
      <alignment horizontal="left" vertical="top" wrapText="1"/>
    </xf>
    <xf numFmtId="0" fontId="0" fillId="13" borderId="2" xfId="0" applyFill="1" applyBorder="1" applyAlignment="1">
      <alignment vertical="top" wrapText="1"/>
    </xf>
    <xf numFmtId="0" fontId="0" fillId="13" borderId="2" xfId="0" applyFill="1" applyBorder="1" applyAlignment="1">
      <alignment vertical="top"/>
    </xf>
    <xf numFmtId="0" fontId="0" fillId="0" borderId="2" xfId="0" applyBorder="1" applyAlignment="1">
      <alignment vertical="top"/>
    </xf>
    <xf numFmtId="0" fontId="0" fillId="13" borderId="18" xfId="0" applyFill="1" applyBorder="1" applyAlignment="1">
      <alignment vertical="top"/>
    </xf>
    <xf numFmtId="0" fontId="0" fillId="0" borderId="55" xfId="0" applyBorder="1" applyAlignment="1">
      <alignment horizontal="left" vertical="top" wrapText="1"/>
    </xf>
    <xf numFmtId="0" fontId="0" fillId="0" borderId="2" xfId="0" applyBorder="1" applyAlignment="1">
      <alignment vertical="top" wrapText="1"/>
    </xf>
    <xf numFmtId="0" fontId="0" fillId="0" borderId="18" xfId="0" applyBorder="1" applyAlignment="1">
      <alignment vertical="top"/>
    </xf>
    <xf numFmtId="0" fontId="0" fillId="0" borderId="18" xfId="0" applyBorder="1" applyAlignment="1">
      <alignment vertical="top" wrapText="1"/>
    </xf>
    <xf numFmtId="0" fontId="0" fillId="13" borderId="18" xfId="0" applyFill="1" applyBorder="1" applyAlignment="1">
      <alignment vertical="top" wrapText="1"/>
    </xf>
    <xf numFmtId="0" fontId="0" fillId="13" borderId="57" xfId="0" applyFill="1" applyBorder="1" applyAlignment="1">
      <alignment vertical="top"/>
    </xf>
    <xf numFmtId="0" fontId="0" fillId="0" borderId="5" xfId="0" applyFill="1" applyBorder="1" applyAlignment="1">
      <alignment vertical="top"/>
    </xf>
    <xf numFmtId="0" fontId="0" fillId="0" borderId="56" xfId="0" applyFill="1" applyBorder="1" applyAlignment="1">
      <alignment vertical="top"/>
    </xf>
    <xf numFmtId="0" fontId="0" fillId="0" borderId="5" xfId="0" applyFill="1" applyBorder="1" applyAlignment="1">
      <alignment vertical="top" wrapText="1"/>
    </xf>
    <xf numFmtId="0" fontId="5" fillId="0" borderId="56" xfId="0" applyFont="1" applyFill="1" applyBorder="1" applyAlignment="1">
      <alignment vertical="top" wrapText="1"/>
    </xf>
    <xf numFmtId="0" fontId="0" fillId="6" borderId="28" xfId="0" applyFill="1" applyBorder="1" applyAlignment="1">
      <alignment vertical="top"/>
    </xf>
    <xf numFmtId="0" fontId="0" fillId="13" borderId="9" xfId="0" applyFill="1" applyBorder="1" applyAlignment="1">
      <alignment vertical="top"/>
    </xf>
    <xf numFmtId="0" fontId="0" fillId="6" borderId="42" xfId="0" applyFill="1" applyBorder="1" applyAlignment="1">
      <alignment horizontal="left" vertical="top"/>
    </xf>
    <xf numFmtId="0" fontId="0" fillId="6" borderId="61" xfId="0" applyFill="1" applyBorder="1" applyAlignment="1">
      <alignment horizontal="left" vertical="top"/>
    </xf>
    <xf numFmtId="0" fontId="0" fillId="6" borderId="61" xfId="0" applyFill="1" applyBorder="1" applyAlignment="1">
      <alignment vertical="top"/>
    </xf>
    <xf numFmtId="0" fontId="0" fillId="6" borderId="62" xfId="0" applyFill="1" applyBorder="1" applyAlignment="1">
      <alignment vertical="top"/>
    </xf>
    <xf numFmtId="0" fontId="0" fillId="0" borderId="0" xfId="0" applyAlignment="1">
      <alignment horizontal="left" vertical="top"/>
    </xf>
    <xf numFmtId="0" fontId="0" fillId="11" borderId="0" xfId="0" applyFill="1" applyAlignment="1">
      <alignment vertical="top"/>
    </xf>
    <xf numFmtId="0" fontId="0" fillId="9" borderId="6" xfId="0" applyFill="1" applyBorder="1"/>
    <xf numFmtId="0" fontId="0" fillId="9" borderId="8" xfId="0" applyFill="1" applyBorder="1"/>
    <xf numFmtId="0" fontId="0" fillId="0" borderId="16" xfId="0" applyBorder="1" applyAlignment="1">
      <alignment wrapText="1"/>
    </xf>
    <xf numFmtId="0" fontId="0" fillId="0" borderId="18" xfId="0" applyBorder="1" applyAlignment="1">
      <alignment wrapText="1"/>
    </xf>
    <xf numFmtId="0" fontId="0" fillId="0" borderId="55" xfId="0" applyBorder="1" applyAlignment="1">
      <alignment vertical="top"/>
    </xf>
    <xf numFmtId="0" fontId="0" fillId="0" borderId="2" xfId="0" applyFill="1" applyBorder="1" applyAlignment="1">
      <alignment vertical="top"/>
    </xf>
    <xf numFmtId="0" fontId="0" fillId="0" borderId="26" xfId="0" applyFill="1" applyBorder="1" applyAlignment="1">
      <alignment vertical="top"/>
    </xf>
    <xf numFmtId="0" fontId="0" fillId="0" borderId="27" xfId="0" applyBorder="1" applyAlignment="1">
      <alignment wrapText="1"/>
    </xf>
    <xf numFmtId="0" fontId="0" fillId="7" borderId="28" xfId="0" applyFill="1" applyBorder="1"/>
    <xf numFmtId="0" fontId="0" fillId="7" borderId="29" xfId="0" applyFill="1" applyBorder="1"/>
    <xf numFmtId="0" fontId="0" fillId="7" borderId="7" xfId="0" applyFill="1" applyBorder="1"/>
    <xf numFmtId="0" fontId="0" fillId="7" borderId="8" xfId="0" applyFill="1" applyBorder="1"/>
    <xf numFmtId="0" fontId="0" fillId="0" borderId="36" xfId="0" applyBorder="1" applyAlignment="1">
      <alignment vertical="top"/>
    </xf>
    <xf numFmtId="0" fontId="0" fillId="0" borderId="12" xfId="0" applyBorder="1" applyAlignment="1">
      <alignment vertical="top"/>
    </xf>
    <xf numFmtId="0" fontId="0" fillId="0" borderId="65" xfId="0" applyBorder="1"/>
    <xf numFmtId="0" fontId="0" fillId="0" borderId="39" xfId="0" applyBorder="1" applyAlignment="1">
      <alignment vertical="top"/>
    </xf>
    <xf numFmtId="0" fontId="0" fillId="0" borderId="21" xfId="0" applyBorder="1" applyAlignment="1">
      <alignment wrapText="1"/>
    </xf>
    <xf numFmtId="0" fontId="0" fillId="0" borderId="40" xfId="0" applyBorder="1" applyAlignment="1">
      <alignment vertical="top"/>
    </xf>
    <xf numFmtId="0" fontId="0" fillId="0" borderId="24" xfId="0" applyBorder="1" applyAlignment="1">
      <alignment vertical="top"/>
    </xf>
    <xf numFmtId="0" fontId="0" fillId="0" borderId="66" xfId="0" applyBorder="1" applyAlignment="1">
      <alignment wrapText="1"/>
    </xf>
    <xf numFmtId="0" fontId="0" fillId="0" borderId="24" xfId="0" applyBorder="1" applyAlignment="1">
      <alignment wrapText="1"/>
    </xf>
    <xf numFmtId="0" fontId="0" fillId="15" borderId="28" xfId="0" applyFill="1" applyBorder="1"/>
    <xf numFmtId="0" fontId="0" fillId="13" borderId="6" xfId="0" applyFill="1" applyBorder="1"/>
    <xf numFmtId="0" fontId="0" fillId="11" borderId="11" xfId="0" applyFill="1" applyBorder="1"/>
    <xf numFmtId="0" fontId="0" fillId="15" borderId="48" xfId="0" applyFill="1" applyBorder="1"/>
    <xf numFmtId="0" fontId="0" fillId="15" borderId="49" xfId="0" applyFill="1" applyBorder="1"/>
    <xf numFmtId="0" fontId="0" fillId="15" borderId="42" xfId="0" applyFill="1" applyBorder="1"/>
    <xf numFmtId="0" fontId="0" fillId="15" borderId="61" xfId="0" applyFill="1" applyBorder="1"/>
    <xf numFmtId="0" fontId="0" fillId="15" borderId="62" xfId="0" applyFill="1" applyBorder="1"/>
    <xf numFmtId="0" fontId="0" fillId="13" borderId="0" xfId="0" applyFill="1" applyBorder="1" applyAlignment="1">
      <alignment horizontal="left" vertical="top" wrapText="1"/>
    </xf>
    <xf numFmtId="0" fontId="0" fillId="13" borderId="57" xfId="0" applyFill="1" applyBorder="1" applyAlignment="1">
      <alignment horizontal="left" vertical="top" wrapText="1"/>
    </xf>
    <xf numFmtId="0" fontId="0" fillId="13" borderId="57" xfId="0" applyFill="1" applyBorder="1" applyAlignment="1">
      <alignment horizontal="left" vertical="top"/>
    </xf>
    <xf numFmtId="0" fontId="0" fillId="13" borderId="23" xfId="0" applyFill="1" applyBorder="1" applyAlignment="1">
      <alignment horizontal="left" vertical="top" wrapText="1"/>
    </xf>
    <xf numFmtId="0" fontId="0" fillId="0" borderId="0" xfId="0" applyFill="1" applyBorder="1" applyAlignment="1">
      <alignment vertical="top"/>
    </xf>
    <xf numFmtId="0" fontId="18" fillId="13" borderId="21" xfId="0" applyFont="1" applyFill="1" applyBorder="1" applyAlignment="1">
      <alignment horizontal="left" vertical="top" wrapText="1"/>
    </xf>
    <xf numFmtId="0" fontId="18" fillId="13" borderId="1" xfId="0" applyFont="1" applyFill="1" applyBorder="1" applyAlignment="1">
      <alignment horizontal="left" vertical="top" wrapText="1"/>
    </xf>
    <xf numFmtId="14" fontId="16" fillId="0" borderId="3" xfId="0" applyNumberFormat="1" applyFont="1" applyBorder="1" applyAlignment="1">
      <alignment horizontal="left" vertical="top"/>
    </xf>
    <xf numFmtId="0" fontId="16" fillId="0" borderId="3" xfId="0" applyFont="1" applyBorder="1" applyAlignment="1">
      <alignment horizontal="left" vertical="top" wrapText="1"/>
    </xf>
    <xf numFmtId="0" fontId="18" fillId="0" borderId="1" xfId="0" applyFont="1" applyBorder="1" applyAlignment="1">
      <alignment horizontal="left" vertical="top" wrapText="1"/>
    </xf>
    <xf numFmtId="0" fontId="16" fillId="0" borderId="14" xfId="0" applyFont="1" applyBorder="1" applyAlignment="1">
      <alignment horizontal="left" vertical="top" wrapText="1"/>
    </xf>
    <xf numFmtId="14" fontId="16" fillId="0" borderId="14" xfId="0" applyNumberFormat="1" applyFont="1" applyBorder="1" applyAlignment="1">
      <alignment horizontal="left" vertical="top"/>
    </xf>
    <xf numFmtId="14" fontId="16" fillId="0" borderId="15" xfId="0" applyNumberFormat="1" applyFont="1" applyBorder="1" applyAlignment="1">
      <alignment horizontal="left" vertical="top"/>
    </xf>
    <xf numFmtId="16" fontId="16" fillId="0" borderId="15" xfId="0" applyNumberFormat="1" applyFont="1" applyBorder="1" applyAlignment="1">
      <alignment horizontal="left" vertical="top" wrapText="1"/>
    </xf>
    <xf numFmtId="0" fontId="18" fillId="0" borderId="13" xfId="0" applyFont="1" applyBorder="1" applyAlignment="1">
      <alignment horizontal="left" vertical="top" wrapText="1"/>
    </xf>
    <xf numFmtId="0" fontId="5" fillId="0" borderId="3" xfId="0" applyFont="1" applyFill="1" applyBorder="1" applyAlignment="1">
      <alignment horizontal="left" vertical="top" wrapText="1"/>
    </xf>
    <xf numFmtId="14" fontId="5" fillId="0" borderId="3" xfId="0" applyNumberFormat="1" applyFont="1" applyFill="1" applyBorder="1" applyAlignment="1">
      <alignment horizontal="left" vertical="top"/>
    </xf>
    <xf numFmtId="14" fontId="5" fillId="0" borderId="3" xfId="0" applyNumberFormat="1" applyFont="1" applyFill="1" applyBorder="1" applyAlignment="1">
      <alignment horizontal="left" vertical="top" wrapText="1"/>
    </xf>
    <xf numFmtId="0" fontId="5" fillId="13" borderId="3" xfId="0" applyFont="1" applyFill="1" applyBorder="1" applyAlignment="1">
      <alignment horizontal="left" vertical="top" wrapText="1"/>
    </xf>
    <xf numFmtId="14" fontId="5" fillId="13" borderId="3" xfId="0" applyNumberFormat="1" applyFont="1" applyFill="1" applyBorder="1" applyAlignment="1">
      <alignment horizontal="left" vertical="top"/>
    </xf>
    <xf numFmtId="0" fontId="19" fillId="5" borderId="0" xfId="0" applyFont="1" applyFill="1"/>
    <xf numFmtId="0" fontId="5" fillId="0" borderId="2" xfId="0" applyFont="1" applyFill="1" applyBorder="1" applyAlignment="1">
      <alignment horizontal="left" vertical="top" wrapText="1"/>
    </xf>
    <xf numFmtId="14" fontId="5" fillId="0" borderId="2" xfId="0" applyNumberFormat="1" applyFont="1" applyFill="1" applyBorder="1" applyAlignment="1">
      <alignment horizontal="left" vertical="top"/>
    </xf>
    <xf numFmtId="14" fontId="5" fillId="0" borderId="2" xfId="0" applyNumberFormat="1" applyFont="1" applyFill="1" applyBorder="1" applyAlignment="1">
      <alignment horizontal="left" vertical="top" wrapText="1"/>
    </xf>
    <xf numFmtId="14" fontId="5" fillId="13" borderId="2" xfId="0" applyNumberFormat="1" applyFont="1" applyFill="1" applyBorder="1" applyAlignment="1">
      <alignment horizontal="left" vertical="top" wrapText="1"/>
    </xf>
    <xf numFmtId="0" fontId="16" fillId="0" borderId="22" xfId="0" applyFont="1" applyFill="1" applyBorder="1" applyAlignment="1">
      <alignment horizontal="left" vertical="top" wrapText="1"/>
    </xf>
    <xf numFmtId="14" fontId="16" fillId="0" borderId="22" xfId="0" applyNumberFormat="1" applyFont="1" applyFill="1" applyBorder="1" applyAlignment="1">
      <alignment horizontal="left" vertical="top"/>
    </xf>
    <xf numFmtId="14" fontId="16" fillId="0" borderId="22" xfId="0" applyNumberFormat="1" applyFont="1" applyFill="1" applyBorder="1" applyAlignment="1">
      <alignment horizontal="left" vertical="top" wrapText="1"/>
    </xf>
    <xf numFmtId="0" fontId="18" fillId="0" borderId="0" xfId="0" applyFont="1" applyFill="1" applyBorder="1" applyAlignment="1">
      <alignment horizontal="left" vertical="top" wrapText="1"/>
    </xf>
    <xf numFmtId="14" fontId="16" fillId="13" borderId="3" xfId="0" applyNumberFormat="1" applyFont="1" applyFill="1" applyBorder="1" applyAlignment="1">
      <alignment horizontal="left" vertical="top" wrapText="1"/>
    </xf>
    <xf numFmtId="0" fontId="16" fillId="0" borderId="5" xfId="0" applyFont="1" applyFill="1" applyBorder="1" applyAlignment="1">
      <alignment horizontal="left" vertical="top" wrapText="1"/>
    </xf>
    <xf numFmtId="14" fontId="16" fillId="0" borderId="5" xfId="0" applyNumberFormat="1" applyFont="1" applyFill="1" applyBorder="1" applyAlignment="1">
      <alignment horizontal="left" vertical="top"/>
    </xf>
    <xf numFmtId="14" fontId="16" fillId="0" borderId="4" xfId="0" applyNumberFormat="1" applyFont="1" applyFill="1" applyBorder="1" applyAlignment="1">
      <alignment horizontal="left" vertical="top" wrapText="1"/>
    </xf>
    <xf numFmtId="0" fontId="16" fillId="0" borderId="4" xfId="0" applyFont="1" applyFill="1" applyBorder="1" applyAlignment="1">
      <alignment horizontal="left" vertical="top" wrapText="1"/>
    </xf>
    <xf numFmtId="0" fontId="18" fillId="0" borderId="20" xfId="0" applyFont="1" applyFill="1" applyBorder="1" applyAlignment="1">
      <alignment horizontal="left" vertical="top" wrapText="1"/>
    </xf>
    <xf numFmtId="0" fontId="16" fillId="0" borderId="2" xfId="0" applyFont="1" applyFill="1" applyBorder="1" applyAlignment="1">
      <alignment horizontal="left" vertical="top" wrapText="1"/>
    </xf>
    <xf numFmtId="14" fontId="16" fillId="0" borderId="2" xfId="0" applyNumberFormat="1" applyFont="1" applyFill="1" applyBorder="1" applyAlignment="1">
      <alignment horizontal="left" vertical="top"/>
    </xf>
    <xf numFmtId="0" fontId="18" fillId="0" borderId="1" xfId="0" applyFont="1" applyFill="1" applyBorder="1" applyAlignment="1">
      <alignment horizontal="left" vertical="top" wrapText="1"/>
    </xf>
    <xf numFmtId="0" fontId="20" fillId="0" borderId="0" xfId="0" applyFont="1"/>
    <xf numFmtId="0" fontId="21" fillId="0" borderId="0" xfId="0" applyFont="1"/>
    <xf numFmtId="0" fontId="8" fillId="0" borderId="0" xfId="0" applyFont="1" applyAlignment="1">
      <alignment horizontal="center" vertical="center"/>
    </xf>
    <xf numFmtId="0" fontId="0" fillId="12" borderId="6" xfId="0" applyFill="1" applyBorder="1" applyAlignment="1">
      <alignment horizontal="center" vertical="top"/>
    </xf>
    <xf numFmtId="0" fontId="0" fillId="12" borderId="7" xfId="0" applyFill="1" applyBorder="1" applyAlignment="1">
      <alignment horizontal="center" vertical="top"/>
    </xf>
    <xf numFmtId="0" fontId="0" fillId="12" borderId="8" xfId="0" applyFill="1" applyBorder="1" applyAlignment="1">
      <alignment horizontal="center" vertical="top"/>
    </xf>
    <xf numFmtId="0" fontId="0" fillId="0" borderId="30"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9" xfId="0" applyBorder="1" applyAlignment="1">
      <alignment horizontal="left" vertical="top" wrapText="1"/>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7" borderId="6" xfId="0" applyFill="1" applyBorder="1" applyAlignment="1">
      <alignment horizontal="center"/>
    </xf>
    <xf numFmtId="0" fontId="0" fillId="7" borderId="7" xfId="0" applyFill="1" applyBorder="1" applyAlignment="1">
      <alignment horizontal="center"/>
    </xf>
    <xf numFmtId="0" fontId="0" fillId="7" borderId="8" xfId="0" applyFill="1" applyBorder="1" applyAlignment="1">
      <alignment horizontal="center"/>
    </xf>
    <xf numFmtId="0" fontId="0" fillId="6" borderId="6" xfId="0" applyFill="1" applyBorder="1" applyAlignment="1">
      <alignment horizontal="left" vertical="top"/>
    </xf>
    <xf numFmtId="0" fontId="0" fillId="6" borderId="7" xfId="0" applyFill="1" applyBorder="1" applyAlignment="1">
      <alignment horizontal="left" vertical="top"/>
    </xf>
    <xf numFmtId="0" fontId="0" fillId="6" borderId="8" xfId="0" applyFill="1" applyBorder="1" applyAlignment="1">
      <alignment horizontal="left" vertical="top"/>
    </xf>
    <xf numFmtId="0" fontId="0" fillId="0" borderId="30" xfId="0" applyBorder="1" applyAlignment="1">
      <alignment horizontal="left" vertical="top" wrapText="1"/>
    </xf>
    <xf numFmtId="0" fontId="15" fillId="14" borderId="28" xfId="0" applyFont="1" applyFill="1" applyBorder="1" applyAlignment="1">
      <alignment horizontal="center" vertical="top"/>
    </xf>
    <xf numFmtId="0" fontId="15" fillId="14" borderId="48" xfId="0" applyFont="1" applyFill="1" applyBorder="1" applyAlignment="1">
      <alignment horizontal="center" vertical="top"/>
    </xf>
    <xf numFmtId="0" fontId="15" fillId="14" borderId="49" xfId="0" applyFont="1" applyFill="1" applyBorder="1" applyAlignment="1">
      <alignment horizontal="center" vertical="top"/>
    </xf>
    <xf numFmtId="0" fontId="0" fillId="13" borderId="35" xfId="0" applyFill="1" applyBorder="1" applyAlignment="1">
      <alignment horizontal="left" vertical="top" wrapText="1"/>
    </xf>
    <xf numFmtId="0" fontId="0" fillId="13" borderId="32" xfId="0" applyFill="1" applyBorder="1" applyAlignment="1">
      <alignment horizontal="left" vertical="top" wrapText="1"/>
    </xf>
    <xf numFmtId="0" fontId="0" fillId="13" borderId="5" xfId="0" applyFill="1" applyBorder="1" applyAlignment="1">
      <alignment horizontal="left" vertical="top" wrapText="1"/>
    </xf>
    <xf numFmtId="0" fontId="0" fillId="13" borderId="14" xfId="0" applyFill="1" applyBorder="1" applyAlignment="1">
      <alignment horizontal="left" vertical="top" wrapText="1"/>
    </xf>
    <xf numFmtId="0" fontId="0" fillId="13" borderId="5" xfId="0" applyFill="1" applyBorder="1" applyAlignment="1">
      <alignment horizontal="left" vertical="top"/>
    </xf>
    <xf numFmtId="0" fontId="0" fillId="13" borderId="14" xfId="0" applyFill="1" applyBorder="1" applyAlignment="1">
      <alignment horizontal="left" vertical="top"/>
    </xf>
    <xf numFmtId="0" fontId="0" fillId="13" borderId="56" xfId="0" applyFill="1" applyBorder="1" applyAlignment="1">
      <alignment horizontal="left" vertical="top"/>
    </xf>
    <xf numFmtId="0" fontId="0" fillId="13" borderId="58" xfId="0" applyFill="1" applyBorder="1" applyAlignment="1">
      <alignment horizontal="left" vertical="top"/>
    </xf>
    <xf numFmtId="0" fontId="0" fillId="13" borderId="7" xfId="0" applyFill="1" applyBorder="1" applyAlignment="1">
      <alignment horizontal="left" vertical="top"/>
    </xf>
    <xf numFmtId="0" fontId="0" fillId="13" borderId="8" xfId="0" applyFill="1" applyBorder="1" applyAlignment="1">
      <alignment horizontal="left" vertical="top"/>
    </xf>
    <xf numFmtId="0" fontId="0" fillId="0" borderId="59" xfId="0" applyFill="1" applyBorder="1" applyAlignment="1">
      <alignment horizontal="left" vertical="top"/>
    </xf>
    <xf numFmtId="0" fontId="0" fillId="0" borderId="60" xfId="0" applyFill="1" applyBorder="1" applyAlignment="1">
      <alignment horizontal="left" vertical="top"/>
    </xf>
    <xf numFmtId="0" fontId="0" fillId="0" borderId="5" xfId="0" applyFill="1" applyBorder="1" applyAlignment="1">
      <alignment horizontal="left" vertical="top"/>
    </xf>
    <xf numFmtId="0" fontId="0" fillId="0" borderId="14" xfId="0" applyFill="1" applyBorder="1" applyAlignment="1">
      <alignment horizontal="left" vertical="top"/>
    </xf>
    <xf numFmtId="0" fontId="0" fillId="0" borderId="50" xfId="0" applyBorder="1" applyAlignment="1">
      <alignment horizontal="left" vertical="top"/>
    </xf>
    <xf numFmtId="0" fontId="0" fillId="0" borderId="60" xfId="0" applyBorder="1" applyAlignment="1">
      <alignment horizontal="left" vertical="top"/>
    </xf>
    <xf numFmtId="0" fontId="0" fillId="0" borderId="59" xfId="0" applyBorder="1" applyAlignment="1">
      <alignment horizontal="left" vertical="top"/>
    </xf>
    <xf numFmtId="0" fontId="0" fillId="0" borderId="63" xfId="0" applyBorder="1" applyAlignment="1">
      <alignment horizontal="left" vertical="top"/>
    </xf>
    <xf numFmtId="0" fontId="0" fillId="0" borderId="64" xfId="0" applyBorder="1" applyAlignment="1">
      <alignment horizontal="left" vertical="top"/>
    </xf>
    <xf numFmtId="0" fontId="0" fillId="15" borderId="6" xfId="0" applyFill="1" applyBorder="1" applyAlignment="1">
      <alignment horizontal="center"/>
    </xf>
    <xf numFmtId="0" fontId="0" fillId="15" borderId="7" xfId="0" applyFill="1" applyBorder="1" applyAlignment="1">
      <alignment horizontal="center"/>
    </xf>
    <xf numFmtId="0" fontId="0" fillId="15" borderId="8" xfId="0" applyFill="1" applyBorder="1" applyAlignment="1">
      <alignment horizontal="center"/>
    </xf>
    <xf numFmtId="0" fontId="0" fillId="0" borderId="41" xfId="0" applyBorder="1" applyAlignment="1">
      <alignment horizontal="left" vertical="top"/>
    </xf>
    <xf numFmtId="0" fontId="0" fillId="0" borderId="37" xfId="0" applyBorder="1" applyAlignment="1">
      <alignment horizontal="left" vertical="top"/>
    </xf>
    <xf numFmtId="0" fontId="0" fillId="0" borderId="19" xfId="0" applyBorder="1" applyAlignment="1">
      <alignment horizontal="left" vertical="top"/>
    </xf>
    <xf numFmtId="0" fontId="0" fillId="0" borderId="31" xfId="0" applyBorder="1" applyAlignment="1">
      <alignment horizontal="left" vertical="top"/>
    </xf>
    <xf numFmtId="0" fontId="0" fillId="0" borderId="38" xfId="0" applyBorder="1" applyAlignment="1">
      <alignment horizontal="left" vertical="top"/>
    </xf>
  </cellXfs>
  <cellStyles count="4">
    <cellStyle name="Bad" xfId="2" builtinId="27"/>
    <cellStyle name="Good" xfId="1" builtinId="26"/>
    <cellStyle name="Neutral" xfId="3" builtinId="28"/>
    <cellStyle name="Normal" xfId="0" builtinId="0"/>
  </cellStyles>
  <dxfs count="272">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ont>
        <color rgb="FF9C6500"/>
      </font>
      <fill>
        <patternFill>
          <bgColor rgb="FFFFEB9C"/>
        </patternFill>
      </fill>
    </dxf>
    <dxf>
      <font>
        <color rgb="FF006100"/>
      </font>
      <fill>
        <patternFill>
          <bgColor rgb="FFC6EFCE"/>
        </patternFill>
      </fill>
    </dxf>
    <dxf>
      <font>
        <color theme="0" tint="-0.499984740745262"/>
      </font>
      <fill>
        <patternFill>
          <bgColor theme="0" tint="-4.9989318521683403E-2"/>
        </patternFill>
      </fill>
    </dxf>
    <dxf>
      <fill>
        <patternFill>
          <bgColor rgb="FFFFFF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ill>
        <patternFill patternType="solid">
          <bgColor rgb="FFFFFF00"/>
        </patternFill>
      </fill>
    </dxf>
    <dxf>
      <fill>
        <patternFill patternType="solid">
          <bgColor rgb="FFFFFF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271"/>
      <tableStyleElement type="headerRow" dxfId="270"/>
    </tableStyle>
  </tableStyles>
  <colors>
    <mruColors>
      <color rgb="FFFF999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Gantt!$C$2</c:f>
              <c:strCache>
                <c:ptCount val="1"/>
                <c:pt idx="0">
                  <c:v>Start</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Gantt!$B$3:$B$14</c:f>
              <c:strCache>
                <c:ptCount val="12"/>
                <c:pt idx="0">
                  <c:v>P1 - EMV Onboarding</c:v>
                </c:pt>
                <c:pt idx="1">
                  <c:v>P2 - EMV Setup</c:v>
                </c:pt>
                <c:pt idx="2">
                  <c:v>P3 - Test Execution</c:v>
                </c:pt>
                <c:pt idx="3">
                  <c:v>P4 - Pre-Validation</c:v>
                </c:pt>
                <c:pt idx="4">
                  <c:v>P5 - Validation</c:v>
                </c:pt>
                <c:pt idx="5">
                  <c:v>P6 - Approval</c:v>
                </c:pt>
                <c:pt idx="6">
                  <c:v>A1 - EMV Onboarding</c:v>
                </c:pt>
                <c:pt idx="7">
                  <c:v>A2 - EMV Setup</c:v>
                </c:pt>
                <c:pt idx="8">
                  <c:v>A3 - Test Execution</c:v>
                </c:pt>
                <c:pt idx="9">
                  <c:v>A4 - Pre-Validation</c:v>
                </c:pt>
                <c:pt idx="10">
                  <c:v>A5 - Validation</c:v>
                </c:pt>
                <c:pt idx="11">
                  <c:v>A6 - Approval</c:v>
                </c:pt>
              </c:strCache>
            </c:strRef>
          </c:cat>
          <c:val>
            <c:numRef>
              <c:f>Gantt!$C$3:$C$14</c:f>
              <c:numCache>
                <c:formatCode>m/d/yyyy;@</c:formatCode>
                <c:ptCount val="12"/>
                <c:pt idx="0">
                  <c:v>43046</c:v>
                </c:pt>
                <c:pt idx="1">
                  <c:v>43060</c:v>
                </c:pt>
                <c:pt idx="2">
                  <c:v>43067</c:v>
                </c:pt>
                <c:pt idx="3">
                  <c:v>43132</c:v>
                </c:pt>
                <c:pt idx="4">
                  <c:v>43144</c:v>
                </c:pt>
                <c:pt idx="5">
                  <c:v>43164</c:v>
                </c:pt>
                <c:pt idx="6">
                  <c:v>43046</c:v>
                </c:pt>
                <c:pt idx="7">
                  <c:v>43061</c:v>
                </c:pt>
                <c:pt idx="8">
                  <c:v>43228</c:v>
                </c:pt>
                <c:pt idx="9">
                  <c:v>0</c:v>
                </c:pt>
                <c:pt idx="10">
                  <c:v>0</c:v>
                </c:pt>
                <c:pt idx="11">
                  <c:v>0</c:v>
                </c:pt>
              </c:numCache>
            </c:numRef>
          </c:val>
          <c:extLst>
            <c:ext xmlns:c16="http://schemas.microsoft.com/office/drawing/2014/chart" uri="{C3380CC4-5D6E-409C-BE32-E72D297353CC}">
              <c16:uniqueId val="{00000000-4E78-4C25-9071-D620DF827C88}"/>
            </c:ext>
          </c:extLst>
        </c:ser>
        <c:ser>
          <c:idx val="1"/>
          <c:order val="1"/>
          <c:tx>
            <c:strRef>
              <c:f>Gantt!$D$2</c:f>
              <c:strCache>
                <c:ptCount val="1"/>
                <c:pt idx="0">
                  <c:v>Duration </c:v>
                </c:pt>
              </c:strCache>
            </c:strRef>
          </c:tx>
          <c:spPr>
            <a:solidFill>
              <a:srgbClr val="C00000"/>
            </a:solidFill>
            <a:ln>
              <a:noFill/>
            </a:ln>
            <a:effectLst/>
          </c:spPr>
          <c:invertIfNegative val="0"/>
          <c:dPt>
            <c:idx val="6"/>
            <c:invertIfNegative val="0"/>
            <c:bubble3D val="0"/>
            <c:spPr>
              <a:solidFill>
                <a:schemeClr val="accent1">
                  <a:lumMod val="50000"/>
                </a:schemeClr>
              </a:solidFill>
              <a:ln>
                <a:noFill/>
              </a:ln>
              <a:effectLst/>
            </c:spPr>
            <c:extLst>
              <c:ext xmlns:c16="http://schemas.microsoft.com/office/drawing/2014/chart" uri="{C3380CC4-5D6E-409C-BE32-E72D297353CC}">
                <c16:uniqueId val="{00000002-4E78-4C25-9071-D620DF827C88}"/>
              </c:ext>
            </c:extLst>
          </c:dPt>
          <c:dPt>
            <c:idx val="7"/>
            <c:invertIfNegative val="0"/>
            <c:bubble3D val="0"/>
            <c:spPr>
              <a:solidFill>
                <a:schemeClr val="accent1">
                  <a:lumMod val="50000"/>
                </a:schemeClr>
              </a:solidFill>
              <a:ln>
                <a:noFill/>
              </a:ln>
              <a:effectLst/>
            </c:spPr>
            <c:extLst>
              <c:ext xmlns:c16="http://schemas.microsoft.com/office/drawing/2014/chart" uri="{C3380CC4-5D6E-409C-BE32-E72D297353CC}">
                <c16:uniqueId val="{00000004-4E78-4C25-9071-D620DF827C88}"/>
              </c:ext>
            </c:extLst>
          </c:dPt>
          <c:dPt>
            <c:idx val="8"/>
            <c:invertIfNegative val="0"/>
            <c:bubble3D val="0"/>
            <c:spPr>
              <a:solidFill>
                <a:schemeClr val="accent1">
                  <a:lumMod val="50000"/>
                </a:schemeClr>
              </a:solidFill>
              <a:ln>
                <a:noFill/>
              </a:ln>
              <a:effectLst/>
            </c:spPr>
            <c:extLst>
              <c:ext xmlns:c16="http://schemas.microsoft.com/office/drawing/2014/chart" uri="{C3380CC4-5D6E-409C-BE32-E72D297353CC}">
                <c16:uniqueId val="{00000006-4E78-4C25-9071-D620DF827C88}"/>
              </c:ext>
            </c:extLst>
          </c:dPt>
          <c:dPt>
            <c:idx val="9"/>
            <c:invertIfNegative val="0"/>
            <c:bubble3D val="0"/>
            <c:spPr>
              <a:solidFill>
                <a:schemeClr val="accent1">
                  <a:lumMod val="50000"/>
                </a:schemeClr>
              </a:solidFill>
              <a:ln>
                <a:noFill/>
              </a:ln>
              <a:effectLst/>
            </c:spPr>
            <c:extLst>
              <c:ext xmlns:c16="http://schemas.microsoft.com/office/drawing/2014/chart" uri="{C3380CC4-5D6E-409C-BE32-E72D297353CC}">
                <c16:uniqueId val="{00000008-4E78-4C25-9071-D620DF827C88}"/>
              </c:ext>
            </c:extLst>
          </c:dPt>
          <c:dPt>
            <c:idx val="10"/>
            <c:invertIfNegative val="0"/>
            <c:bubble3D val="0"/>
            <c:spPr>
              <a:solidFill>
                <a:schemeClr val="accent1">
                  <a:lumMod val="50000"/>
                </a:schemeClr>
              </a:solidFill>
              <a:ln>
                <a:noFill/>
              </a:ln>
              <a:effectLst/>
            </c:spPr>
            <c:extLst>
              <c:ext xmlns:c16="http://schemas.microsoft.com/office/drawing/2014/chart" uri="{C3380CC4-5D6E-409C-BE32-E72D297353CC}">
                <c16:uniqueId val="{0000000A-4E78-4C25-9071-D620DF827C88}"/>
              </c:ext>
            </c:extLst>
          </c:dPt>
          <c:dPt>
            <c:idx val="11"/>
            <c:invertIfNegative val="0"/>
            <c:bubble3D val="0"/>
            <c:spPr>
              <a:solidFill>
                <a:schemeClr val="accent1">
                  <a:lumMod val="50000"/>
                </a:schemeClr>
              </a:solidFill>
              <a:ln>
                <a:noFill/>
              </a:ln>
              <a:effectLst/>
            </c:spPr>
            <c:extLst>
              <c:ext xmlns:c16="http://schemas.microsoft.com/office/drawing/2014/chart" uri="{C3380CC4-5D6E-409C-BE32-E72D297353CC}">
                <c16:uniqueId val="{0000000C-4E78-4C25-9071-D620DF827C88}"/>
              </c:ext>
            </c:extLst>
          </c:dPt>
          <c:cat>
            <c:strRef>
              <c:f>Gantt!$B$3:$B$14</c:f>
              <c:strCache>
                <c:ptCount val="12"/>
                <c:pt idx="0">
                  <c:v>P1 - EMV Onboarding</c:v>
                </c:pt>
                <c:pt idx="1">
                  <c:v>P2 - EMV Setup</c:v>
                </c:pt>
                <c:pt idx="2">
                  <c:v>P3 - Test Execution</c:v>
                </c:pt>
                <c:pt idx="3">
                  <c:v>P4 - Pre-Validation</c:v>
                </c:pt>
                <c:pt idx="4">
                  <c:v>P5 - Validation</c:v>
                </c:pt>
                <c:pt idx="5">
                  <c:v>P6 - Approval</c:v>
                </c:pt>
                <c:pt idx="6">
                  <c:v>A1 - EMV Onboarding</c:v>
                </c:pt>
                <c:pt idx="7">
                  <c:v>A2 - EMV Setup</c:v>
                </c:pt>
                <c:pt idx="8">
                  <c:v>A3 - Test Execution</c:v>
                </c:pt>
                <c:pt idx="9">
                  <c:v>A4 - Pre-Validation</c:v>
                </c:pt>
                <c:pt idx="10">
                  <c:v>A5 - Validation</c:v>
                </c:pt>
                <c:pt idx="11">
                  <c:v>A6 - Approval</c:v>
                </c:pt>
              </c:strCache>
            </c:strRef>
          </c:cat>
          <c:val>
            <c:numRef>
              <c:f>Gantt!$D$3:$D$14</c:f>
              <c:numCache>
                <c:formatCode>General</c:formatCode>
                <c:ptCount val="12"/>
                <c:pt idx="0">
                  <c:v>14</c:v>
                </c:pt>
                <c:pt idx="1">
                  <c:v>7</c:v>
                </c:pt>
                <c:pt idx="2">
                  <c:v>65</c:v>
                </c:pt>
                <c:pt idx="3">
                  <c:v>12</c:v>
                </c:pt>
                <c:pt idx="4">
                  <c:v>20</c:v>
                </c:pt>
                <c:pt idx="5">
                  <c:v>7</c:v>
                </c:pt>
                <c:pt idx="6">
                  <c:v>15</c:v>
                </c:pt>
                <c:pt idx="7">
                  <c:v>167</c:v>
                </c:pt>
                <c:pt idx="8">
                  <c:v>-43228</c:v>
                </c:pt>
                <c:pt idx="9">
                  <c:v>0</c:v>
                </c:pt>
                <c:pt idx="10">
                  <c:v>0</c:v>
                </c:pt>
                <c:pt idx="11">
                  <c:v>0</c:v>
                </c:pt>
              </c:numCache>
            </c:numRef>
          </c:val>
          <c:extLst>
            <c:ext xmlns:c16="http://schemas.microsoft.com/office/drawing/2014/chart" uri="{C3380CC4-5D6E-409C-BE32-E72D297353CC}">
              <c16:uniqueId val="{0000000D-4E78-4C25-9071-D620DF827C88}"/>
            </c:ext>
          </c:extLst>
        </c:ser>
        <c:dLbls>
          <c:showLegendKey val="0"/>
          <c:showVal val="0"/>
          <c:showCatName val="0"/>
          <c:showSerName val="0"/>
          <c:showPercent val="0"/>
          <c:showBubbleSize val="0"/>
        </c:dLbls>
        <c:gapWidth val="10"/>
        <c:overlap val="100"/>
        <c:axId val="247346720"/>
        <c:axId val="183546888"/>
      </c:barChart>
      <c:catAx>
        <c:axId val="24734672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546888"/>
        <c:crosses val="autoZero"/>
        <c:auto val="1"/>
        <c:lblAlgn val="ctr"/>
        <c:lblOffset val="100"/>
        <c:noMultiLvlLbl val="0"/>
      </c:catAx>
      <c:valAx>
        <c:axId val="183546888"/>
        <c:scaling>
          <c:orientation val="minMax"/>
          <c:min val="43101"/>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346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Gantt!$C$2</c:f>
              <c:strCache>
                <c:ptCount val="1"/>
                <c:pt idx="0">
                  <c:v>Start</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Gantt!$B$3:$B$14</c:f>
              <c:strCache>
                <c:ptCount val="12"/>
                <c:pt idx="0">
                  <c:v>P1 - EMV Onboarding</c:v>
                </c:pt>
                <c:pt idx="1">
                  <c:v>P2 - EMV Setup</c:v>
                </c:pt>
                <c:pt idx="2">
                  <c:v>P3 - Test Execution</c:v>
                </c:pt>
                <c:pt idx="3">
                  <c:v>P4 - Pre-Validation</c:v>
                </c:pt>
                <c:pt idx="4">
                  <c:v>P5 - Validation</c:v>
                </c:pt>
                <c:pt idx="5">
                  <c:v>P6 - Approval</c:v>
                </c:pt>
                <c:pt idx="6">
                  <c:v>A1 - EMV Onboarding</c:v>
                </c:pt>
                <c:pt idx="7">
                  <c:v>A2 - EMV Setup</c:v>
                </c:pt>
                <c:pt idx="8">
                  <c:v>A3 - Test Execution</c:v>
                </c:pt>
                <c:pt idx="9">
                  <c:v>A4 - Pre-Validation</c:v>
                </c:pt>
                <c:pt idx="10">
                  <c:v>A5 - Validation</c:v>
                </c:pt>
                <c:pt idx="11">
                  <c:v>A6 - Approval</c:v>
                </c:pt>
              </c:strCache>
            </c:strRef>
          </c:cat>
          <c:val>
            <c:numRef>
              <c:f>Gantt!$C$3:$C$14</c:f>
              <c:numCache>
                <c:formatCode>m/d/yyyy;@</c:formatCode>
                <c:ptCount val="12"/>
                <c:pt idx="0">
                  <c:v>43046</c:v>
                </c:pt>
                <c:pt idx="1">
                  <c:v>43060</c:v>
                </c:pt>
                <c:pt idx="2">
                  <c:v>43067</c:v>
                </c:pt>
                <c:pt idx="3">
                  <c:v>43132</c:v>
                </c:pt>
                <c:pt idx="4">
                  <c:v>43144</c:v>
                </c:pt>
                <c:pt idx="5">
                  <c:v>43164</c:v>
                </c:pt>
                <c:pt idx="6">
                  <c:v>43046</c:v>
                </c:pt>
                <c:pt idx="7">
                  <c:v>43061</c:v>
                </c:pt>
                <c:pt idx="8">
                  <c:v>43228</c:v>
                </c:pt>
                <c:pt idx="9">
                  <c:v>0</c:v>
                </c:pt>
                <c:pt idx="10">
                  <c:v>0</c:v>
                </c:pt>
                <c:pt idx="11">
                  <c:v>0</c:v>
                </c:pt>
              </c:numCache>
            </c:numRef>
          </c:val>
          <c:extLst>
            <c:ext xmlns:c16="http://schemas.microsoft.com/office/drawing/2014/chart" uri="{C3380CC4-5D6E-409C-BE32-E72D297353CC}">
              <c16:uniqueId val="{00000000-A722-4648-8B69-344C453ABF97}"/>
            </c:ext>
          </c:extLst>
        </c:ser>
        <c:ser>
          <c:idx val="1"/>
          <c:order val="1"/>
          <c:tx>
            <c:strRef>
              <c:f>Gantt!$D$2</c:f>
              <c:strCache>
                <c:ptCount val="1"/>
                <c:pt idx="0">
                  <c:v>Duration </c:v>
                </c:pt>
              </c:strCache>
            </c:strRef>
          </c:tx>
          <c:spPr>
            <a:solidFill>
              <a:srgbClr val="C00000"/>
            </a:solidFill>
            <a:ln>
              <a:noFill/>
            </a:ln>
            <a:effectLst/>
          </c:spPr>
          <c:invertIfNegative val="0"/>
          <c:dPt>
            <c:idx val="6"/>
            <c:invertIfNegative val="0"/>
            <c:bubble3D val="0"/>
            <c:spPr>
              <a:solidFill>
                <a:schemeClr val="accent1">
                  <a:lumMod val="50000"/>
                </a:schemeClr>
              </a:solidFill>
              <a:ln>
                <a:noFill/>
              </a:ln>
              <a:effectLst/>
            </c:spPr>
            <c:extLst>
              <c:ext xmlns:c16="http://schemas.microsoft.com/office/drawing/2014/chart" uri="{C3380CC4-5D6E-409C-BE32-E72D297353CC}">
                <c16:uniqueId val="{00000002-A722-4648-8B69-344C453ABF97}"/>
              </c:ext>
            </c:extLst>
          </c:dPt>
          <c:dPt>
            <c:idx val="7"/>
            <c:invertIfNegative val="0"/>
            <c:bubble3D val="0"/>
            <c:spPr>
              <a:solidFill>
                <a:schemeClr val="accent1">
                  <a:lumMod val="50000"/>
                </a:schemeClr>
              </a:solidFill>
              <a:ln>
                <a:noFill/>
              </a:ln>
              <a:effectLst/>
            </c:spPr>
            <c:extLst>
              <c:ext xmlns:c16="http://schemas.microsoft.com/office/drawing/2014/chart" uri="{C3380CC4-5D6E-409C-BE32-E72D297353CC}">
                <c16:uniqueId val="{00000004-A722-4648-8B69-344C453ABF97}"/>
              </c:ext>
            </c:extLst>
          </c:dPt>
          <c:dPt>
            <c:idx val="8"/>
            <c:invertIfNegative val="0"/>
            <c:bubble3D val="0"/>
            <c:spPr>
              <a:solidFill>
                <a:schemeClr val="accent1">
                  <a:lumMod val="50000"/>
                </a:schemeClr>
              </a:solidFill>
              <a:ln>
                <a:noFill/>
              </a:ln>
              <a:effectLst/>
            </c:spPr>
            <c:extLst>
              <c:ext xmlns:c16="http://schemas.microsoft.com/office/drawing/2014/chart" uri="{C3380CC4-5D6E-409C-BE32-E72D297353CC}">
                <c16:uniqueId val="{00000006-A722-4648-8B69-344C453ABF97}"/>
              </c:ext>
            </c:extLst>
          </c:dPt>
          <c:dPt>
            <c:idx val="9"/>
            <c:invertIfNegative val="0"/>
            <c:bubble3D val="0"/>
            <c:spPr>
              <a:solidFill>
                <a:schemeClr val="accent1">
                  <a:lumMod val="50000"/>
                </a:schemeClr>
              </a:solidFill>
              <a:ln>
                <a:noFill/>
              </a:ln>
              <a:effectLst/>
            </c:spPr>
            <c:extLst>
              <c:ext xmlns:c16="http://schemas.microsoft.com/office/drawing/2014/chart" uri="{C3380CC4-5D6E-409C-BE32-E72D297353CC}">
                <c16:uniqueId val="{00000008-A722-4648-8B69-344C453ABF97}"/>
              </c:ext>
            </c:extLst>
          </c:dPt>
          <c:dPt>
            <c:idx val="10"/>
            <c:invertIfNegative val="0"/>
            <c:bubble3D val="0"/>
            <c:spPr>
              <a:solidFill>
                <a:schemeClr val="accent1">
                  <a:lumMod val="50000"/>
                </a:schemeClr>
              </a:solidFill>
              <a:ln>
                <a:noFill/>
              </a:ln>
              <a:effectLst/>
            </c:spPr>
            <c:extLst>
              <c:ext xmlns:c16="http://schemas.microsoft.com/office/drawing/2014/chart" uri="{C3380CC4-5D6E-409C-BE32-E72D297353CC}">
                <c16:uniqueId val="{0000000A-A722-4648-8B69-344C453ABF97}"/>
              </c:ext>
            </c:extLst>
          </c:dPt>
          <c:dPt>
            <c:idx val="11"/>
            <c:invertIfNegative val="0"/>
            <c:bubble3D val="0"/>
            <c:spPr>
              <a:solidFill>
                <a:schemeClr val="accent1">
                  <a:lumMod val="50000"/>
                </a:schemeClr>
              </a:solidFill>
              <a:ln>
                <a:noFill/>
              </a:ln>
              <a:effectLst/>
            </c:spPr>
            <c:extLst>
              <c:ext xmlns:c16="http://schemas.microsoft.com/office/drawing/2014/chart" uri="{C3380CC4-5D6E-409C-BE32-E72D297353CC}">
                <c16:uniqueId val="{0000000C-A722-4648-8B69-344C453ABF97}"/>
              </c:ext>
            </c:extLst>
          </c:dPt>
          <c:cat>
            <c:strRef>
              <c:f>Gantt!$B$3:$B$14</c:f>
              <c:strCache>
                <c:ptCount val="12"/>
                <c:pt idx="0">
                  <c:v>P1 - EMV Onboarding</c:v>
                </c:pt>
                <c:pt idx="1">
                  <c:v>P2 - EMV Setup</c:v>
                </c:pt>
                <c:pt idx="2">
                  <c:v>P3 - Test Execution</c:v>
                </c:pt>
                <c:pt idx="3">
                  <c:v>P4 - Pre-Validation</c:v>
                </c:pt>
                <c:pt idx="4">
                  <c:v>P5 - Validation</c:v>
                </c:pt>
                <c:pt idx="5">
                  <c:v>P6 - Approval</c:v>
                </c:pt>
                <c:pt idx="6">
                  <c:v>A1 - EMV Onboarding</c:v>
                </c:pt>
                <c:pt idx="7">
                  <c:v>A2 - EMV Setup</c:v>
                </c:pt>
                <c:pt idx="8">
                  <c:v>A3 - Test Execution</c:v>
                </c:pt>
                <c:pt idx="9">
                  <c:v>A4 - Pre-Validation</c:v>
                </c:pt>
                <c:pt idx="10">
                  <c:v>A5 - Validation</c:v>
                </c:pt>
                <c:pt idx="11">
                  <c:v>A6 - Approval</c:v>
                </c:pt>
              </c:strCache>
            </c:strRef>
          </c:cat>
          <c:val>
            <c:numRef>
              <c:f>Gantt!$D$3:$D$14</c:f>
              <c:numCache>
                <c:formatCode>General</c:formatCode>
                <c:ptCount val="12"/>
                <c:pt idx="0">
                  <c:v>14</c:v>
                </c:pt>
                <c:pt idx="1">
                  <c:v>7</c:v>
                </c:pt>
                <c:pt idx="2">
                  <c:v>65</c:v>
                </c:pt>
                <c:pt idx="3">
                  <c:v>12</c:v>
                </c:pt>
                <c:pt idx="4">
                  <c:v>20</c:v>
                </c:pt>
                <c:pt idx="5">
                  <c:v>7</c:v>
                </c:pt>
                <c:pt idx="6">
                  <c:v>15</c:v>
                </c:pt>
                <c:pt idx="7">
                  <c:v>167</c:v>
                </c:pt>
                <c:pt idx="8">
                  <c:v>-43228</c:v>
                </c:pt>
                <c:pt idx="9">
                  <c:v>0</c:v>
                </c:pt>
                <c:pt idx="10">
                  <c:v>0</c:v>
                </c:pt>
                <c:pt idx="11">
                  <c:v>0</c:v>
                </c:pt>
              </c:numCache>
            </c:numRef>
          </c:val>
          <c:extLst>
            <c:ext xmlns:c16="http://schemas.microsoft.com/office/drawing/2014/chart" uri="{C3380CC4-5D6E-409C-BE32-E72D297353CC}">
              <c16:uniqueId val="{0000000D-A722-4648-8B69-344C453ABF97}"/>
            </c:ext>
          </c:extLst>
        </c:ser>
        <c:dLbls>
          <c:showLegendKey val="0"/>
          <c:showVal val="0"/>
          <c:showCatName val="0"/>
          <c:showSerName val="0"/>
          <c:showPercent val="0"/>
          <c:showBubbleSize val="0"/>
        </c:dLbls>
        <c:gapWidth val="10"/>
        <c:overlap val="100"/>
        <c:axId val="183552768"/>
        <c:axId val="183548848"/>
      </c:barChart>
      <c:catAx>
        <c:axId val="18355276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548848"/>
        <c:crosses val="autoZero"/>
        <c:auto val="1"/>
        <c:lblAlgn val="ctr"/>
        <c:lblOffset val="100"/>
        <c:noMultiLvlLbl val="0"/>
      </c:catAx>
      <c:valAx>
        <c:axId val="183548848"/>
        <c:scaling>
          <c:orientation val="minMax"/>
          <c:min val="43101"/>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55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92D050"/>
                </a:solidFill>
              </a:rPr>
              <a:t>Passed Test Cases</a:t>
            </a:r>
          </a:p>
        </c:rich>
      </c:tx>
      <c:layout>
        <c:manualLayout>
          <c:xMode val="edge"/>
          <c:yMode val="edge"/>
          <c:x val="0.2253012048192771"/>
          <c:y val="6.81198910081743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505749460400545"/>
          <c:y val="0.1775946275946276"/>
          <c:w val="0.62421203438395412"/>
          <c:h val="0.79798534798534793"/>
        </c:manualLayout>
      </c:layout>
      <c:doughnutChart>
        <c:varyColors val="1"/>
        <c:ser>
          <c:idx val="0"/>
          <c:order val="0"/>
          <c:tx>
            <c:v>Timeline</c:v>
          </c:tx>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63EB-4E08-970D-C1B0D4463AB6}"/>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63EB-4E08-970D-C1B0D4463AB6}"/>
              </c:ext>
            </c:extLst>
          </c:dPt>
          <c:cat>
            <c:strRef>
              <c:f>'Test Summary'!$A$16:$A$17</c:f>
              <c:strCache>
                <c:ptCount val="2"/>
                <c:pt idx="0">
                  <c:v>Pass</c:v>
                </c:pt>
                <c:pt idx="1">
                  <c:v>Fail&amp;Pending</c:v>
                </c:pt>
              </c:strCache>
            </c:strRef>
          </c:cat>
          <c:val>
            <c:numRef>
              <c:f>'Test Summary'!$B$19:$B$20</c:f>
              <c:numCache>
                <c:formatCode>0</c:formatCode>
                <c:ptCount val="2"/>
                <c:pt idx="0">
                  <c:v>143</c:v>
                </c:pt>
                <c:pt idx="1">
                  <c:v>-220</c:v>
                </c:pt>
              </c:numCache>
            </c:numRef>
          </c:val>
          <c:extLst>
            <c:ext xmlns:c16="http://schemas.microsoft.com/office/drawing/2014/chart" uri="{C3380CC4-5D6E-409C-BE32-E72D297353CC}">
              <c16:uniqueId val="{00000004-63EB-4E08-970D-C1B0D4463AB6}"/>
            </c:ext>
          </c:extLst>
        </c:ser>
        <c:ser>
          <c:idx val="1"/>
          <c:order val="1"/>
          <c:tx>
            <c:v>Test Results</c:v>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6-63EB-4E08-970D-C1B0D4463AB6}"/>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8-63EB-4E08-970D-C1B0D4463AB6}"/>
              </c:ext>
            </c:extLst>
          </c:dPt>
          <c:cat>
            <c:strRef>
              <c:f>'Test Summary'!$A$16:$A$17</c:f>
              <c:strCache>
                <c:ptCount val="2"/>
                <c:pt idx="0">
                  <c:v>Pass</c:v>
                </c:pt>
                <c:pt idx="1">
                  <c:v>Fail&amp;Pending</c:v>
                </c:pt>
              </c:strCache>
            </c:strRef>
          </c:cat>
          <c:val>
            <c:numRef>
              <c:f>'Test Summary'!$B$16:$B$17</c:f>
              <c:numCache>
                <c:formatCode>0.0%</c:formatCode>
                <c:ptCount val="2"/>
                <c:pt idx="0">
                  <c:v>0</c:v>
                </c:pt>
                <c:pt idx="1">
                  <c:v>0</c:v>
                </c:pt>
              </c:numCache>
            </c:numRef>
          </c:val>
          <c:extLst>
            <c:ext xmlns:c16="http://schemas.microsoft.com/office/drawing/2014/chart" uri="{C3380CC4-5D6E-409C-BE32-E72D297353CC}">
              <c16:uniqueId val="{00000009-63EB-4E08-970D-C1B0D4463AB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Test</a:t>
            </a:r>
            <a:r>
              <a:rPr lang="en-US" baseline="0"/>
              <a:t> Cases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'Test Summary'!$B$1</c:f>
              <c:strCache>
                <c:ptCount val="1"/>
                <c:pt idx="0">
                  <c:v>Pass</c:v>
                </c:pt>
              </c:strCache>
            </c:strRef>
          </c:tx>
          <c:spPr>
            <a:solidFill>
              <a:schemeClr val="accent1"/>
            </a:solidFill>
            <a:ln>
              <a:noFill/>
            </a:ln>
            <a:effectLst/>
          </c:spPr>
          <c:invertIfNegative val="0"/>
          <c:cat>
            <c:strRef>
              <c:f>'Test Summary'!$A$2:$A$13</c:f>
              <c:strCache>
                <c:ptCount val="4"/>
                <c:pt idx="0">
                  <c:v>Discover Contact </c:v>
                </c:pt>
                <c:pt idx="1">
                  <c:v>MasterCard</c:v>
                </c:pt>
                <c:pt idx="2">
                  <c:v>Visa Contact</c:v>
                </c:pt>
                <c:pt idx="3">
                  <c:v>Visa US Debit</c:v>
                </c:pt>
              </c:strCache>
            </c:strRef>
          </c:cat>
          <c:val>
            <c:numRef>
              <c:f>'Test Summary'!$B$2:$B$13</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E036-4B28-9428-0B187D2AFC45}"/>
            </c:ext>
          </c:extLst>
        </c:ser>
        <c:ser>
          <c:idx val="1"/>
          <c:order val="1"/>
          <c:tx>
            <c:strRef>
              <c:f>'Test Summary'!$C$1</c:f>
              <c:strCache>
                <c:ptCount val="1"/>
                <c:pt idx="0">
                  <c:v>Fail</c:v>
                </c:pt>
              </c:strCache>
            </c:strRef>
          </c:tx>
          <c:spPr>
            <a:solidFill>
              <a:schemeClr val="accent2"/>
            </a:solidFill>
            <a:ln>
              <a:noFill/>
            </a:ln>
            <a:effectLst/>
          </c:spPr>
          <c:invertIfNegative val="0"/>
          <c:cat>
            <c:strRef>
              <c:f>'Test Summary'!$A$2:$A$13</c:f>
              <c:strCache>
                <c:ptCount val="4"/>
                <c:pt idx="0">
                  <c:v>Discover Contact </c:v>
                </c:pt>
                <c:pt idx="1">
                  <c:v>MasterCard</c:v>
                </c:pt>
                <c:pt idx="2">
                  <c:v>Visa Contact</c:v>
                </c:pt>
                <c:pt idx="3">
                  <c:v>Visa US Debit</c:v>
                </c:pt>
              </c:strCache>
            </c:strRef>
          </c:cat>
          <c:val>
            <c:numRef>
              <c:f>'Test Summary'!$C$2:$C$13</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E036-4B28-9428-0B187D2AFC45}"/>
            </c:ext>
          </c:extLst>
        </c:ser>
        <c:ser>
          <c:idx val="2"/>
          <c:order val="2"/>
          <c:tx>
            <c:strRef>
              <c:f>'Test Summary'!$D$1</c:f>
              <c:strCache>
                <c:ptCount val="1"/>
                <c:pt idx="0">
                  <c:v>Pending</c:v>
                </c:pt>
              </c:strCache>
            </c:strRef>
          </c:tx>
          <c:spPr>
            <a:solidFill>
              <a:schemeClr val="accent3"/>
            </a:solidFill>
            <a:ln>
              <a:noFill/>
            </a:ln>
            <a:effectLst/>
          </c:spPr>
          <c:invertIfNegative val="0"/>
          <c:cat>
            <c:strRef>
              <c:f>'Test Summary'!$A$2:$A$13</c:f>
              <c:strCache>
                <c:ptCount val="4"/>
                <c:pt idx="0">
                  <c:v>Discover Contact </c:v>
                </c:pt>
                <c:pt idx="1">
                  <c:v>MasterCard</c:v>
                </c:pt>
                <c:pt idx="2">
                  <c:v>Visa Contact</c:v>
                </c:pt>
                <c:pt idx="3">
                  <c:v>Visa US Debit</c:v>
                </c:pt>
              </c:strCache>
            </c:strRef>
          </c:cat>
          <c:val>
            <c:numRef>
              <c:f>'Test Summary'!$D$2:$D$13</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E036-4B28-9428-0B187D2AFC45}"/>
            </c:ext>
          </c:extLst>
        </c:ser>
        <c:dLbls>
          <c:showLegendKey val="0"/>
          <c:showVal val="0"/>
          <c:showCatName val="0"/>
          <c:showSerName val="0"/>
          <c:showPercent val="0"/>
          <c:showBubbleSize val="0"/>
        </c:dLbls>
        <c:gapWidth val="150"/>
        <c:overlap val="100"/>
        <c:axId val="183547672"/>
        <c:axId val="183553160"/>
      </c:barChart>
      <c:catAx>
        <c:axId val="18354767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553160"/>
        <c:crosses val="autoZero"/>
        <c:auto val="1"/>
        <c:lblAlgn val="ctr"/>
        <c:lblOffset val="100"/>
        <c:noMultiLvlLbl val="0"/>
      </c:catAx>
      <c:valAx>
        <c:axId val="183553160"/>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547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24</xdr:row>
      <xdr:rowOff>99060</xdr:rowOff>
    </xdr:from>
    <xdr:to>
      <xdr:col>1</xdr:col>
      <xdr:colOff>1989330</xdr:colOff>
      <xdr:row>24</xdr:row>
      <xdr:rowOff>1752743</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1"/>
        <a:srcRect l="67265"/>
        <a:stretch/>
      </xdr:blipFill>
      <xdr:spPr>
        <a:xfrm>
          <a:off x="670560" y="6545580"/>
          <a:ext cx="1928370" cy="1653683"/>
        </a:xfrm>
        <a:prstGeom prst="rect">
          <a:avLst/>
        </a:prstGeom>
        <a:ln w="38100" cap="sq">
          <a:solidFill>
            <a:schemeClr val="accent1"/>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76200</xdr:colOff>
      <xdr:row>22</xdr:row>
      <xdr:rowOff>76200</xdr:rowOff>
    </xdr:from>
    <xdr:to>
      <xdr:col>1</xdr:col>
      <xdr:colOff>2728190</xdr:colOff>
      <xdr:row>22</xdr:row>
      <xdr:rowOff>1150620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srcRect t="32382" b="17444"/>
        <a:stretch/>
      </xdr:blipFill>
      <xdr:spPr>
        <a:xfrm>
          <a:off x="685800" y="4876800"/>
          <a:ext cx="2651990" cy="1074420"/>
        </a:xfrm>
        <a:prstGeom prst="rect">
          <a:avLst/>
        </a:prstGeom>
        <a:ln w="38100" cap="sq">
          <a:solidFill>
            <a:schemeClr val="accent1"/>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7620</xdr:colOff>
      <xdr:row>0</xdr:row>
      <xdr:rowOff>60960</xdr:rowOff>
    </xdr:from>
    <xdr:to>
      <xdr:col>2</xdr:col>
      <xdr:colOff>388620</xdr:colOff>
      <xdr:row>1</xdr:row>
      <xdr:rowOff>4344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64920" y="60960"/>
          <a:ext cx="2164080" cy="552984"/>
        </a:xfrm>
        <a:prstGeom prst="rect">
          <a:avLst/>
        </a:prstGeom>
      </xdr:spPr>
    </xdr:pic>
    <xdr:clientData/>
  </xdr:twoCellAnchor>
  <xdr:twoCellAnchor>
    <xdr:from>
      <xdr:col>4</xdr:col>
      <xdr:colOff>0</xdr:colOff>
      <xdr:row>11</xdr:row>
      <xdr:rowOff>0</xdr:rowOff>
    </xdr:from>
    <xdr:to>
      <xdr:col>9</xdr:col>
      <xdr:colOff>601980</xdr:colOff>
      <xdr:row>26</xdr:row>
      <xdr:rowOff>0</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8</xdr:col>
      <xdr:colOff>281940</xdr:colOff>
      <xdr:row>8</xdr:row>
      <xdr:rowOff>38100</xdr:rowOff>
    </xdr:from>
    <xdr:to>
      <xdr:col>8</xdr:col>
      <xdr:colOff>548640</xdr:colOff>
      <xdr:row>8</xdr:row>
      <xdr:rowOff>152400</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0812780" y="1996440"/>
          <a:ext cx="266700" cy="114300"/>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281940</xdr:colOff>
      <xdr:row>9</xdr:row>
      <xdr:rowOff>45720</xdr:rowOff>
    </xdr:from>
    <xdr:to>
      <xdr:col>8</xdr:col>
      <xdr:colOff>548640</xdr:colOff>
      <xdr:row>9</xdr:row>
      <xdr:rowOff>160020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10812780" y="2186940"/>
          <a:ext cx="266700" cy="11430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53340</xdr:colOff>
      <xdr:row>0</xdr:row>
      <xdr:rowOff>160020</xdr:rowOff>
    </xdr:from>
    <xdr:to>
      <xdr:col>16</xdr:col>
      <xdr:colOff>419100</xdr:colOff>
      <xdr:row>15</xdr:row>
      <xdr:rowOff>76200</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14</xdr:row>
      <xdr:rowOff>0</xdr:rowOff>
    </xdr:from>
    <xdr:to>
      <xdr:col>10</xdr:col>
      <xdr:colOff>647700</xdr:colOff>
      <xdr:row>29</xdr:row>
      <xdr:rowOff>53340</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5</xdr:col>
      <xdr:colOff>1653540</xdr:colOff>
      <xdr:row>29</xdr:row>
      <xdr:rowOff>68580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0.36103</cdr:x>
      <cdr:y>0.41026</cdr:y>
    </cdr:from>
    <cdr:to>
      <cdr:x>0.67335</cdr:x>
      <cdr:y>0.75092</cdr:y>
    </cdr:to>
    <cdr:sp macro="" textlink="">
      <cdr:nvSpPr>
        <cdr:cNvPr id="2" name="TextBox 1"/>
        <cdr:cNvSpPr txBox="1"/>
      </cdr:nvSpPr>
      <cdr:spPr>
        <a:xfrm xmlns:a="http://schemas.openxmlformats.org/drawingml/2006/main">
          <a:off x="960120" y="853440"/>
          <a:ext cx="830580" cy="7086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solidFill>
                <a:schemeClr val="accent5">
                  <a:lumMod val="60000"/>
                  <a:lumOff val="40000"/>
                </a:schemeClr>
              </a:solidFill>
            </a:rPr>
            <a:t>Active Business</a:t>
          </a:r>
          <a:r>
            <a:rPr lang="en-US" sz="1600" b="1" baseline="0">
              <a:solidFill>
                <a:schemeClr val="accent5">
                  <a:lumMod val="60000"/>
                  <a:lumOff val="40000"/>
                </a:schemeClr>
              </a:solidFill>
            </a:rPr>
            <a:t> Days</a:t>
          </a:r>
          <a:endParaRPr lang="en-US" sz="1600" b="1">
            <a:solidFill>
              <a:schemeClr val="accent5">
                <a:lumMod val="60000"/>
                <a:lumOff val="40000"/>
              </a:schemeClr>
            </a:solidFill>
          </a:endParaRPr>
        </a:p>
      </cdr:txBody>
    </cdr:sp>
  </cdr:relSizeAnchor>
</c:userShap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0000000}" name="Table210" displayName="Table210" ref="A1:D37" totalsRowShown="0" headerRowDxfId="246">
  <autoFilter ref="A1:D37" xr:uid="{00000000-0009-0000-0100-000009000000}"/>
  <tableColumns count="4">
    <tableColumn id="1" xr3:uid="{00000000-0010-0000-0000-000001000000}" name="Test Case"/>
    <tableColumn id="2" xr3:uid="{00000000-0010-0000-0000-000002000000}" name="Result"/>
    <tableColumn id="4" xr3:uid="{00000000-0010-0000-0000-000004000000}" name="UL Review" dataDxfId="245"/>
    <tableColumn id="3" xr3:uid="{00000000-0010-0000-0000-000003000000}" name="Assigned to"/>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1000000}" name="Table21011" displayName="Table21011" ref="A5:D25" totalsRowShown="0" headerRowDxfId="226">
  <autoFilter ref="A5:D25" xr:uid="{00000000-0009-0000-0100-00000A000000}"/>
  <tableColumns count="4">
    <tableColumn id="1" xr3:uid="{00000000-0010-0000-0100-000001000000}" name="Test Case"/>
    <tableColumn id="2" xr3:uid="{00000000-0010-0000-0100-000002000000}" name="Result"/>
    <tableColumn id="4" xr3:uid="{00000000-0010-0000-0100-000004000000}" name="UL Review" dataDxfId="225"/>
    <tableColumn id="3" xr3:uid="{00000000-0010-0000-0100-000003000000}" name="Assigned t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2000000}" name="Table2101118" displayName="Table2101118" ref="A5:D25" totalsRowShown="0" headerRowDxfId="206">
  <autoFilter ref="A5:D25" xr:uid="{00000000-0009-0000-0100-000011000000}"/>
  <tableColumns count="4">
    <tableColumn id="1" xr3:uid="{00000000-0010-0000-0200-000001000000}" name="Test Case"/>
    <tableColumn id="2" xr3:uid="{00000000-0010-0000-0200-000002000000}" name="Result"/>
    <tableColumn id="4" xr3:uid="{00000000-0010-0000-0200-000004000000}" name="UL Review" dataDxfId="205"/>
    <tableColumn id="3" xr3:uid="{00000000-0010-0000-0200-000003000000}" name="Assigned to"/>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E46" totalsRowShown="0" headerRowDxfId="189">
  <autoFilter ref="A1:E46" xr:uid="{00000000-0009-0000-0100-000003000000}"/>
  <tableColumns count="5">
    <tableColumn id="1" xr3:uid="{00000000-0010-0000-0300-000001000000}" name="Test Case"/>
    <tableColumn id="2" xr3:uid="{00000000-0010-0000-0300-000002000000}" name="Result"/>
    <tableColumn id="5" xr3:uid="{00000000-0010-0000-0300-000005000000}" name="UL Notes" dataDxfId="188"/>
    <tableColumn id="3" xr3:uid="{00000000-0010-0000-0300-000003000000}" name="Assigned to"/>
    <tableColumn id="4" xr3:uid="{00000000-0010-0000-0300-000004000000}" name="Followup Notes"/>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32" displayName="Table32" ref="A5:E28" totalsRowShown="0" headerRowDxfId="181">
  <autoFilter ref="A5:E28" xr:uid="{00000000-0009-0000-0100-000001000000}"/>
  <tableColumns count="5">
    <tableColumn id="1" xr3:uid="{00000000-0010-0000-0400-000001000000}" name="Test Case"/>
    <tableColumn id="2" xr3:uid="{00000000-0010-0000-0400-000002000000}" name="Result"/>
    <tableColumn id="5" xr3:uid="{00000000-0010-0000-0400-000005000000}" name="UL Notes" dataDxfId="180"/>
    <tableColumn id="3" xr3:uid="{00000000-0010-0000-0400-000003000000}" name="Assigned to"/>
    <tableColumn id="4" xr3:uid="{00000000-0010-0000-0400-000004000000}" name="Followup Notes"/>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5000000}" name="Table3219" displayName="Table3219" ref="A5:D21" totalsRowShown="0" headerRowDxfId="173">
  <autoFilter ref="A5:D21" xr:uid="{00000000-0009-0000-0100-000012000000}"/>
  <tableColumns count="4">
    <tableColumn id="1" xr3:uid="{00000000-0010-0000-0500-000001000000}" name="Test Case"/>
    <tableColumn id="2" xr3:uid="{00000000-0010-0000-0500-000002000000}" name="Result"/>
    <tableColumn id="5" xr3:uid="{00000000-0010-0000-0500-000005000000}" name="UL Review" dataDxfId="172"/>
    <tableColumn id="3" xr3:uid="{00000000-0010-0000-0500-000003000000}" name="Assigned t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6000000}" name="Table76" displayName="Table76" ref="A1:E26" totalsRowShown="0" headerRowDxfId="165">
  <autoFilter ref="A1:E26" xr:uid="{00000000-0009-0000-0100-000005000000}"/>
  <tableColumns count="5">
    <tableColumn id="1" xr3:uid="{00000000-0010-0000-0600-000001000000}" name="Test Case"/>
    <tableColumn id="2" xr3:uid="{00000000-0010-0000-0600-000002000000}" name="Result"/>
    <tableColumn id="4" xr3:uid="{00000000-0010-0000-0600-000004000000}" name="UL Notes"/>
    <tableColumn id="3" xr3:uid="{00000000-0010-0000-0600-000003000000}" name="Assigned to"/>
    <tableColumn id="5" xr3:uid="{00000000-0010-0000-0600-000005000000}" name="Followup Note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Table7" displayName="Table7" ref="A1:F15" totalsRowShown="0" headerRowDxfId="149">
  <autoFilter ref="A1:F15" xr:uid="{00000000-0009-0000-0100-000007000000}"/>
  <tableColumns count="6">
    <tableColumn id="1" xr3:uid="{00000000-0010-0000-0700-000001000000}" name="Test Case"/>
    <tableColumn id="2" xr3:uid="{00000000-0010-0000-0700-000002000000}" name="Result"/>
    <tableColumn id="4" xr3:uid="{00000000-0010-0000-0700-000004000000}" name="UL Notes"/>
    <tableColumn id="3" xr3:uid="{00000000-0010-0000-0700-000003000000}" name="Assigned to"/>
    <tableColumn id="5" xr3:uid="{00000000-0010-0000-0700-000005000000}" name="Followup Notes"/>
    <tableColumn id="6" xr3:uid="{00000000-0010-0000-0700-000006000000}" name="Unpredticable number"/>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6" displayName="Table6" ref="A5:E16" totalsRowShown="0" headerRowDxfId="142">
  <autoFilter ref="A5:E16" xr:uid="{00000000-0009-0000-0100-000006000000}"/>
  <tableColumns count="5">
    <tableColumn id="1" xr3:uid="{00000000-0010-0000-0800-000001000000}" name="Test Case"/>
    <tableColumn id="2" xr3:uid="{00000000-0010-0000-0800-000002000000}" name="Result"/>
    <tableColumn id="5" xr3:uid="{00000000-0010-0000-0800-000005000000}" name="UL Notes" dataDxfId="141"/>
    <tableColumn id="3" xr3:uid="{00000000-0010-0000-0800-000003000000}" name="Assigned to"/>
    <tableColumn id="4" xr3:uid="{00000000-0010-0000-0800-000004000000}" name="Followup Notes"/>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9000000}" name="Table8" displayName="Table8" ref="A1:E6" totalsRowShown="0" headerRowDxfId="128">
  <autoFilter ref="A1:E6" xr:uid="{00000000-0009-0000-0100-000008000000}"/>
  <tableColumns count="5">
    <tableColumn id="1" xr3:uid="{00000000-0010-0000-0900-000001000000}" name="Test Case"/>
    <tableColumn id="2" xr3:uid="{00000000-0010-0000-0900-000002000000}" name="Result"/>
    <tableColumn id="4" xr3:uid="{00000000-0010-0000-0900-000004000000}" name="UL Notes" dataDxfId="127"/>
    <tableColumn id="3" xr3:uid="{00000000-0010-0000-0900-000003000000}" name="Assigned to"/>
    <tableColumn id="5" xr3:uid="{00000000-0010-0000-0900-000005000000}" name="Followup Notes"/>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A000000}" name="Table4" displayName="Table4" ref="A5:D64" totalsRowShown="0" headerRowDxfId="120">
  <autoFilter ref="A5:D64" xr:uid="{00000000-0009-0000-0100-000004000000}"/>
  <tableColumns count="4">
    <tableColumn id="1" xr3:uid="{00000000-0010-0000-0A00-000001000000}" name="Test Case"/>
    <tableColumn id="2" xr3:uid="{00000000-0010-0000-0A00-000002000000}" name="Result"/>
    <tableColumn id="4" xr3:uid="{00000000-0010-0000-0A00-000004000000}" name="UL Review" dataDxfId="119"/>
    <tableColumn id="3" xr3:uid="{00000000-0010-0000-0A00-000003000000}" name="Assigned to"/>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B000000}" name="Table2" displayName="Table2" ref="A5:D35" totalsRowShown="0" headerRowDxfId="100">
  <autoFilter ref="A5:D35" xr:uid="{00000000-0009-0000-0100-000002000000}"/>
  <tableColumns count="4">
    <tableColumn id="1" xr3:uid="{00000000-0010-0000-0B00-000001000000}" name="Test Case"/>
    <tableColumn id="2" xr3:uid="{00000000-0010-0000-0B00-000002000000}" name="Result"/>
    <tableColumn id="4" xr3:uid="{00000000-0010-0000-0B00-000004000000}" name="UL Review" dataDxfId="99"/>
    <tableColumn id="3" xr3:uid="{00000000-0010-0000-0B00-000003000000}" name="Assigned to"/>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A8D08D"/>
      </a:accent1>
      <a:accent2>
        <a:srgbClr val="FF9999"/>
      </a:accent2>
      <a:accent3>
        <a:srgbClr val="FFD96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B25"/>
  <sheetViews>
    <sheetView workbookViewId="0">
      <selection activeCell="H12" sqref="H12"/>
    </sheetView>
  </sheetViews>
  <sheetFormatPr defaultRowHeight="14.5" x14ac:dyDescent="0.35"/>
  <cols>
    <col min="2" max="2" width="72.26953125" style="5" customWidth="1"/>
  </cols>
  <sheetData>
    <row r="2" spans="1:2" ht="18.5" x14ac:dyDescent="0.45">
      <c r="B2" s="49" t="s">
        <v>312</v>
      </c>
    </row>
    <row r="4" spans="1:2" x14ac:dyDescent="0.35">
      <c r="B4" s="5" t="s">
        <v>315</v>
      </c>
    </row>
    <row r="6" spans="1:2" x14ac:dyDescent="0.35">
      <c r="B6" s="46" t="s">
        <v>316</v>
      </c>
    </row>
    <row r="7" spans="1:2" x14ac:dyDescent="0.35">
      <c r="B7" s="48" t="s">
        <v>335</v>
      </c>
    </row>
    <row r="8" spans="1:2" x14ac:dyDescent="0.35">
      <c r="B8" s="48" t="s">
        <v>321</v>
      </c>
    </row>
    <row r="10" spans="1:2" x14ac:dyDescent="0.35">
      <c r="B10" s="46" t="s">
        <v>323</v>
      </c>
    </row>
    <row r="11" spans="1:2" ht="29" x14ac:dyDescent="0.35">
      <c r="A11" s="47" t="s">
        <v>320</v>
      </c>
      <c r="B11" s="48" t="s">
        <v>326</v>
      </c>
    </row>
    <row r="12" spans="1:2" ht="43.5" x14ac:dyDescent="0.35">
      <c r="A12" s="47" t="s">
        <v>318</v>
      </c>
      <c r="B12" s="48" t="s">
        <v>319</v>
      </c>
    </row>
    <row r="13" spans="1:2" ht="29" x14ac:dyDescent="0.35">
      <c r="A13" s="47" t="s">
        <v>317</v>
      </c>
      <c r="B13" s="48" t="s">
        <v>325</v>
      </c>
    </row>
    <row r="14" spans="1:2" x14ac:dyDescent="0.35">
      <c r="A14" s="47" t="s">
        <v>322</v>
      </c>
      <c r="B14" s="48" t="s">
        <v>327</v>
      </c>
    </row>
    <row r="16" spans="1:2" x14ac:dyDescent="0.35">
      <c r="B16" s="46" t="s">
        <v>324</v>
      </c>
    </row>
    <row r="17" spans="1:2" x14ac:dyDescent="0.35">
      <c r="B17" s="48" t="s">
        <v>328</v>
      </c>
    </row>
    <row r="19" spans="1:2" x14ac:dyDescent="0.35">
      <c r="B19" s="46" t="s">
        <v>329</v>
      </c>
    </row>
    <row r="20" spans="1:2" x14ac:dyDescent="0.35">
      <c r="A20" t="s">
        <v>330</v>
      </c>
      <c r="B20" s="48" t="s">
        <v>331</v>
      </c>
    </row>
    <row r="21" spans="1:2" ht="29" x14ac:dyDescent="0.35">
      <c r="B21" s="48" t="s">
        <v>334</v>
      </c>
    </row>
    <row r="22" spans="1:2" ht="43.5" x14ac:dyDescent="0.35">
      <c r="B22" s="48" t="s">
        <v>333</v>
      </c>
    </row>
    <row r="23" spans="1:2" ht="100.9" customHeight="1" x14ac:dyDescent="0.35">
      <c r="B23" s="48"/>
    </row>
    <row r="24" spans="1:2" ht="29" x14ac:dyDescent="0.35">
      <c r="B24" s="48" t="s">
        <v>332</v>
      </c>
    </row>
    <row r="25" spans="1:2" ht="148.15" customHeight="1" x14ac:dyDescent="0.35">
      <c r="B25" s="4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26"/>
  <sheetViews>
    <sheetView showGridLines="0" zoomScaleNormal="100" workbookViewId="0">
      <selection activeCell="C33" sqref="C33"/>
    </sheetView>
  </sheetViews>
  <sheetFormatPr defaultRowHeight="14.5" x14ac:dyDescent="0.35"/>
  <cols>
    <col min="1" max="1" width="17.7265625" customWidth="1"/>
    <col min="2" max="2" width="26" customWidth="1"/>
    <col min="3" max="3" width="21.54296875" bestFit="1" customWidth="1"/>
    <col min="4" max="4" width="10.81640625" customWidth="1"/>
    <col min="5" max="5" width="16.26953125" customWidth="1"/>
    <col min="6" max="6" width="24.26953125" customWidth="1"/>
    <col min="7" max="7" width="22.26953125" customWidth="1"/>
    <col min="8" max="8" width="22.54296875" customWidth="1"/>
  </cols>
  <sheetData>
    <row r="1" spans="1:10" ht="48.65" customHeight="1" x14ac:dyDescent="0.35">
      <c r="B1" s="12"/>
      <c r="C1" s="250" t="s">
        <v>256</v>
      </c>
      <c r="D1" s="250"/>
      <c r="E1" s="250"/>
      <c r="F1" s="250"/>
      <c r="G1" s="250"/>
      <c r="H1" s="12" t="s">
        <v>257</v>
      </c>
    </row>
    <row r="2" spans="1:10" x14ac:dyDescent="0.35">
      <c r="B2" s="11"/>
    </row>
    <row r="3" spans="1:10" ht="19.149999999999999" customHeight="1" x14ac:dyDescent="0.35">
      <c r="A3" t="s">
        <v>215</v>
      </c>
      <c r="B3" s="19" t="s">
        <v>216</v>
      </c>
      <c r="C3" s="41" t="s">
        <v>617</v>
      </c>
      <c r="E3" t="s">
        <v>239</v>
      </c>
      <c r="F3" s="20" t="s">
        <v>240</v>
      </c>
      <c r="G3" s="44">
        <v>43046</v>
      </c>
      <c r="H3" s="50" t="str">
        <f ca="1">CONCATENATE("Today is ",'Field Options'!D4)</f>
        <v>Today is 11/30/2018</v>
      </c>
    </row>
    <row r="4" spans="1:10" x14ac:dyDescent="0.35">
      <c r="B4" s="13" t="s">
        <v>217</v>
      </c>
      <c r="C4" s="42">
        <v>1506</v>
      </c>
      <c r="F4" s="16"/>
      <c r="G4" s="16" t="s">
        <v>241</v>
      </c>
      <c r="H4" s="16" t="s">
        <v>242</v>
      </c>
    </row>
    <row r="5" spans="1:10" x14ac:dyDescent="0.35">
      <c r="B5" s="13" t="s">
        <v>221</v>
      </c>
      <c r="C5" s="42">
        <v>260672</v>
      </c>
      <c r="F5" s="16" t="s">
        <v>222</v>
      </c>
      <c r="G5" s="45">
        <f>WORKDAY(G3,10,'Field Options'!G$2:G$12)</f>
        <v>43060</v>
      </c>
      <c r="H5" s="43">
        <v>43061</v>
      </c>
    </row>
    <row r="6" spans="1:10" x14ac:dyDescent="0.35">
      <c r="B6" s="13" t="s">
        <v>218</v>
      </c>
      <c r="C6" s="41" t="s">
        <v>224</v>
      </c>
      <c r="F6" s="16" t="s">
        <v>223</v>
      </c>
      <c r="G6" s="45">
        <f>WORKDAY(G5,5,'Field Options'!G$2:G$12)</f>
        <v>43067</v>
      </c>
      <c r="H6" s="43">
        <v>43228</v>
      </c>
    </row>
    <row r="7" spans="1:10" x14ac:dyDescent="0.35">
      <c r="F7" s="16" t="s">
        <v>224</v>
      </c>
      <c r="G7" s="45">
        <f>WORKDAY(G6,45,'Field Options'!G$2:G$12)</f>
        <v>43132</v>
      </c>
      <c r="H7" s="43"/>
    </row>
    <row r="8" spans="1:10" x14ac:dyDescent="0.35">
      <c r="A8" t="s">
        <v>234</v>
      </c>
      <c r="B8" s="17"/>
      <c r="C8" s="16" t="s">
        <v>238</v>
      </c>
      <c r="F8" s="16" t="s">
        <v>225</v>
      </c>
      <c r="G8" s="45">
        <f>WORKDAY(G7,8,'Field Options'!G$2:G$12)</f>
        <v>43144</v>
      </c>
      <c r="H8" s="43"/>
    </row>
    <row r="9" spans="1:10" x14ac:dyDescent="0.35">
      <c r="B9" s="16" t="s">
        <v>235</v>
      </c>
      <c r="C9" s="42" t="s">
        <v>674</v>
      </c>
      <c r="F9" s="16" t="s">
        <v>226</v>
      </c>
      <c r="G9" s="45">
        <f>WORKDAY(G8,13,'Field Options'!G$2:G$12)</f>
        <v>43164</v>
      </c>
      <c r="H9" s="43"/>
      <c r="J9" t="s">
        <v>286</v>
      </c>
    </row>
    <row r="10" spans="1:10" x14ac:dyDescent="0.35">
      <c r="B10" s="16" t="s">
        <v>236</v>
      </c>
      <c r="C10" s="42" t="s">
        <v>675</v>
      </c>
      <c r="F10" s="16" t="s">
        <v>227</v>
      </c>
      <c r="G10" s="45">
        <f>WORKDAY(G9,5,'Field Options'!G$2:G$12)</f>
        <v>43171</v>
      </c>
      <c r="H10" s="43"/>
      <c r="J10" t="s">
        <v>287</v>
      </c>
    </row>
    <row r="11" spans="1:10" x14ac:dyDescent="0.35">
      <c r="B11" s="16" t="s">
        <v>237</v>
      </c>
      <c r="C11" s="42" t="s">
        <v>677</v>
      </c>
    </row>
    <row r="12" spans="1:10" x14ac:dyDescent="0.35">
      <c r="B12" s="16" t="str">
        <f>C3</f>
        <v>Barri Financial</v>
      </c>
      <c r="C12" s="42" t="s">
        <v>676</v>
      </c>
    </row>
    <row r="14" spans="1:10" x14ac:dyDescent="0.35">
      <c r="A14" t="s">
        <v>253</v>
      </c>
      <c r="B14" s="16" t="s">
        <v>254</v>
      </c>
      <c r="C14" s="16" t="s">
        <v>255</v>
      </c>
    </row>
    <row r="15" spans="1:10" x14ac:dyDescent="0.35">
      <c r="B15" s="14" t="s">
        <v>262</v>
      </c>
      <c r="C15" s="42" t="s">
        <v>268</v>
      </c>
    </row>
    <row r="16" spans="1:10" x14ac:dyDescent="0.35">
      <c r="B16" s="14" t="s">
        <v>263</v>
      </c>
      <c r="C16" s="42" t="s">
        <v>268</v>
      </c>
    </row>
    <row r="17" spans="2:7" x14ac:dyDescent="0.35">
      <c r="B17" s="14" t="s">
        <v>264</v>
      </c>
      <c r="C17" s="42" t="s">
        <v>268</v>
      </c>
      <c r="G17" s="10"/>
    </row>
    <row r="18" spans="2:7" x14ac:dyDescent="0.35">
      <c r="B18" s="14" t="s">
        <v>265</v>
      </c>
      <c r="C18" s="42" t="s">
        <v>269</v>
      </c>
    </row>
    <row r="19" spans="2:7" x14ac:dyDescent="0.35">
      <c r="B19" s="14" t="s">
        <v>266</v>
      </c>
      <c r="C19" s="42" t="s">
        <v>268</v>
      </c>
    </row>
    <row r="20" spans="2:7" x14ac:dyDescent="0.35">
      <c r="B20" s="14" t="s">
        <v>258</v>
      </c>
      <c r="C20" s="42" t="s">
        <v>268</v>
      </c>
    </row>
    <row r="21" spans="2:7" x14ac:dyDescent="0.35">
      <c r="B21" s="14" t="s">
        <v>157</v>
      </c>
      <c r="C21" s="42" t="s">
        <v>269</v>
      </c>
    </row>
    <row r="22" spans="2:7" x14ac:dyDescent="0.35">
      <c r="B22" s="14" t="s">
        <v>259</v>
      </c>
      <c r="C22" s="42" t="s">
        <v>269</v>
      </c>
    </row>
    <row r="23" spans="2:7" x14ac:dyDescent="0.35">
      <c r="B23" s="14" t="s">
        <v>260</v>
      </c>
      <c r="C23" s="42" t="s">
        <v>268</v>
      </c>
    </row>
    <row r="24" spans="2:7" x14ac:dyDescent="0.35">
      <c r="B24" s="14" t="s">
        <v>261</v>
      </c>
      <c r="C24" s="42" t="s">
        <v>269</v>
      </c>
    </row>
    <row r="25" spans="2:7" x14ac:dyDescent="0.35">
      <c r="B25" s="14" t="s">
        <v>156</v>
      </c>
      <c r="C25" s="42" t="s">
        <v>268</v>
      </c>
    </row>
    <row r="26" spans="2:7" x14ac:dyDescent="0.35">
      <c r="B26" s="14" t="s">
        <v>91</v>
      </c>
      <c r="C26" s="42" t="s">
        <v>268</v>
      </c>
    </row>
  </sheetData>
  <sheetProtection algorithmName="SHA-512" hashValue="wykWmnmulZplqXEBsjgkB04X7tYasf3UboZKoosuTEDh6Qq5BYMkNDKe3HWfw+52PflD9WNXX2JyFceH7D0Qxg==" saltValue="uom02R6TQH4OAW5C49dDIw==" spinCount="100000" sheet="1" objects="1" scenarios="1"/>
  <protectedRanges>
    <protectedRange sqref="C3:C6 C9:C12 C15:C26 H5:H10" name="Range1"/>
  </protectedRanges>
  <mergeCells count="1">
    <mergeCell ref="C1:G1"/>
  </mergeCells>
  <conditionalFormatting sqref="C15">
    <cfRule type="cellIs" dxfId="269" priority="3" operator="equal">
      <formula>"Please select…"</formula>
    </cfRule>
  </conditionalFormatting>
  <conditionalFormatting sqref="C16:C26">
    <cfRule type="cellIs" dxfId="268" priority="2" operator="equal">
      <formula>"Please select…"</formula>
    </cfRule>
  </conditionalFormatting>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0000000}">
          <x14:formula1>
            <xm:f>'Field Options'!$B$3:$B$8</xm:f>
          </x14:formula1>
          <xm:sqref>C6</xm:sqref>
        </x14:dataValidation>
        <x14:dataValidation type="list" allowBlank="1" showInputMessage="1" showErrorMessage="1" xr:uid="{00000000-0002-0000-0100-000001000000}">
          <x14:formula1>
            <xm:f>'Field Options'!$B$36:$B$38</xm:f>
          </x14:formula1>
          <xm:sqref>C15:C26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B2:E17"/>
  <sheetViews>
    <sheetView workbookViewId="0">
      <selection activeCell="F22" sqref="F22"/>
    </sheetView>
  </sheetViews>
  <sheetFormatPr defaultRowHeight="14.5" x14ac:dyDescent="0.35"/>
  <cols>
    <col min="2" max="2" width="21.54296875" customWidth="1"/>
    <col min="3" max="3" width="9.54296875" customWidth="1"/>
    <col min="5" max="5" width="9.54296875" customWidth="1"/>
  </cols>
  <sheetData>
    <row r="2" spans="2:5" x14ac:dyDescent="0.35">
      <c r="B2" t="s">
        <v>270</v>
      </c>
      <c r="C2" t="s">
        <v>159</v>
      </c>
      <c r="D2" t="s">
        <v>271</v>
      </c>
      <c r="E2" t="s">
        <v>272</v>
      </c>
    </row>
    <row r="3" spans="2:5" x14ac:dyDescent="0.35">
      <c r="B3" t="s">
        <v>273</v>
      </c>
      <c r="C3" s="21">
        <f>Overview!G3</f>
        <v>43046</v>
      </c>
      <c r="D3">
        <f>_xlfn.DAYS(E3,C3)</f>
        <v>14</v>
      </c>
      <c r="E3" s="18">
        <f>Overview!G5</f>
        <v>43060</v>
      </c>
    </row>
    <row r="4" spans="2:5" x14ac:dyDescent="0.35">
      <c r="B4" t="s">
        <v>274</v>
      </c>
      <c r="C4" s="21">
        <f>E3</f>
        <v>43060</v>
      </c>
      <c r="D4">
        <f t="shared" ref="D4:D14" si="0">_xlfn.DAYS(E4,C4)</f>
        <v>7</v>
      </c>
      <c r="E4" s="18">
        <f>Overview!G6</f>
        <v>43067</v>
      </c>
    </row>
    <row r="5" spans="2:5" x14ac:dyDescent="0.35">
      <c r="B5" t="s">
        <v>275</v>
      </c>
      <c r="C5" s="21">
        <f t="shared" ref="C5:C8" si="1">E4</f>
        <v>43067</v>
      </c>
      <c r="D5">
        <f t="shared" si="0"/>
        <v>65</v>
      </c>
      <c r="E5" s="18">
        <f>Overview!G7</f>
        <v>43132</v>
      </c>
    </row>
    <row r="6" spans="2:5" x14ac:dyDescent="0.35">
      <c r="B6" t="s">
        <v>276</v>
      </c>
      <c r="C6" s="21">
        <f t="shared" si="1"/>
        <v>43132</v>
      </c>
      <c r="D6">
        <f t="shared" si="0"/>
        <v>12</v>
      </c>
      <c r="E6" s="18">
        <f>Overview!G8</f>
        <v>43144</v>
      </c>
    </row>
    <row r="7" spans="2:5" x14ac:dyDescent="0.35">
      <c r="B7" t="s">
        <v>277</v>
      </c>
      <c r="C7" s="21">
        <f t="shared" si="1"/>
        <v>43144</v>
      </c>
      <c r="D7">
        <f t="shared" si="0"/>
        <v>20</v>
      </c>
      <c r="E7" s="18">
        <f>Overview!G9</f>
        <v>43164</v>
      </c>
    </row>
    <row r="8" spans="2:5" x14ac:dyDescent="0.35">
      <c r="B8" t="s">
        <v>278</v>
      </c>
      <c r="C8" s="21">
        <f t="shared" si="1"/>
        <v>43164</v>
      </c>
      <c r="D8">
        <f t="shared" si="0"/>
        <v>7</v>
      </c>
      <c r="E8" s="18">
        <f>Overview!G10</f>
        <v>43171</v>
      </c>
    </row>
    <row r="9" spans="2:5" x14ac:dyDescent="0.35">
      <c r="B9" t="s">
        <v>279</v>
      </c>
      <c r="C9" s="18">
        <f>C3</f>
        <v>43046</v>
      </c>
      <c r="D9">
        <f t="shared" si="0"/>
        <v>15</v>
      </c>
      <c r="E9" s="18">
        <f>Overview!H5</f>
        <v>43061</v>
      </c>
    </row>
    <row r="10" spans="2:5" x14ac:dyDescent="0.35">
      <c r="B10" t="s">
        <v>280</v>
      </c>
      <c r="C10" s="18">
        <f>E9</f>
        <v>43061</v>
      </c>
      <c r="D10">
        <f t="shared" si="0"/>
        <v>167</v>
      </c>
      <c r="E10" s="18">
        <f>Overview!H6</f>
        <v>43228</v>
      </c>
    </row>
    <row r="11" spans="2:5" x14ac:dyDescent="0.35">
      <c r="B11" t="s">
        <v>281</v>
      </c>
      <c r="C11" s="18">
        <f t="shared" ref="C11:C14" si="2">E10</f>
        <v>43228</v>
      </c>
      <c r="D11">
        <f t="shared" si="0"/>
        <v>-43228</v>
      </c>
      <c r="E11" s="18">
        <f>Overview!H7</f>
        <v>0</v>
      </c>
    </row>
    <row r="12" spans="2:5" x14ac:dyDescent="0.35">
      <c r="B12" t="s">
        <v>282</v>
      </c>
      <c r="C12" s="18">
        <f t="shared" si="2"/>
        <v>0</v>
      </c>
      <c r="D12">
        <f t="shared" si="0"/>
        <v>0</v>
      </c>
      <c r="E12" s="18">
        <f>Overview!H8</f>
        <v>0</v>
      </c>
    </row>
    <row r="13" spans="2:5" x14ac:dyDescent="0.35">
      <c r="B13" t="s">
        <v>283</v>
      </c>
      <c r="C13" s="18">
        <f t="shared" si="2"/>
        <v>0</v>
      </c>
      <c r="D13">
        <f t="shared" si="0"/>
        <v>0</v>
      </c>
      <c r="E13" s="18">
        <f>Overview!H9</f>
        <v>0</v>
      </c>
    </row>
    <row r="14" spans="2:5" x14ac:dyDescent="0.35">
      <c r="B14" t="s">
        <v>284</v>
      </c>
      <c r="C14" s="18">
        <f t="shared" si="2"/>
        <v>0</v>
      </c>
      <c r="D14">
        <f t="shared" si="0"/>
        <v>0</v>
      </c>
      <c r="E14" s="18">
        <f>Overview!H10</f>
        <v>0</v>
      </c>
    </row>
    <row r="16" spans="2:5" x14ac:dyDescent="0.35">
      <c r="B16" t="s">
        <v>160</v>
      </c>
      <c r="C16" s="9">
        <f ca="1">TODAY()</f>
        <v>43434</v>
      </c>
    </row>
    <row r="17" spans="3:3" x14ac:dyDescent="0.35">
      <c r="C17" s="9">
        <f ca="1">TODAY()</f>
        <v>43434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N20"/>
  <sheetViews>
    <sheetView showGridLines="0" zoomScaleNormal="100" workbookViewId="0">
      <selection activeCell="F14" sqref="F14"/>
    </sheetView>
  </sheetViews>
  <sheetFormatPr defaultRowHeight="14.5" x14ac:dyDescent="0.35"/>
  <cols>
    <col min="1" max="1" width="26" customWidth="1"/>
    <col min="2" max="2" width="9.1796875" style="23" customWidth="1"/>
    <col min="3" max="3" width="8.7265625" style="23" customWidth="1"/>
    <col min="4" max="4" width="9.7265625" style="23" customWidth="1"/>
    <col min="5" max="5" width="8.7265625" style="23" customWidth="1"/>
    <col min="6" max="6" width="28.453125" customWidth="1"/>
    <col min="7" max="7" width="8.26953125" style="58" customWidth="1"/>
    <col min="8" max="8" width="8.1796875" style="58" customWidth="1"/>
    <col min="9" max="9" width="11.453125" style="58" customWidth="1"/>
    <col min="10" max="10" width="8.81640625" style="58" customWidth="1"/>
    <col min="11" max="11" width="17.81640625" style="58" customWidth="1"/>
    <col min="12" max="12" width="5" style="58" customWidth="1"/>
    <col min="13" max="13" width="21.453125" style="58" customWidth="1"/>
    <col min="14" max="14" width="4.7265625" style="58" customWidth="1"/>
  </cols>
  <sheetData>
    <row r="1" spans="1:14" ht="23.5" customHeight="1" x14ac:dyDescent="0.35">
      <c r="A1" s="24" t="s">
        <v>254</v>
      </c>
      <c r="B1" s="25" t="s">
        <v>1</v>
      </c>
      <c r="C1" s="26" t="s">
        <v>2</v>
      </c>
      <c r="D1" s="27" t="s">
        <v>3</v>
      </c>
      <c r="E1" s="28" t="s">
        <v>288</v>
      </c>
      <c r="F1" s="38" t="s">
        <v>310</v>
      </c>
      <c r="G1" s="51" t="s">
        <v>1</v>
      </c>
      <c r="H1" s="52" t="e">
        <f>B16</f>
        <v>#REF!</v>
      </c>
      <c r="I1" s="53" t="s">
        <v>311</v>
      </c>
      <c r="J1" s="54" t="e">
        <f>B17</f>
        <v>#REF!</v>
      </c>
      <c r="K1" s="55" t="s">
        <v>313</v>
      </c>
      <c r="L1" s="56">
        <f ca="1">B19</f>
        <v>143</v>
      </c>
      <c r="M1" s="53" t="s">
        <v>314</v>
      </c>
      <c r="N1" s="57">
        <f ca="1">B20</f>
        <v>-220</v>
      </c>
    </row>
    <row r="2" spans="1:14" hidden="1" x14ac:dyDescent="0.35">
      <c r="A2" s="29" t="s">
        <v>262</v>
      </c>
      <c r="B2" s="30" t="e">
        <f>'AMEX CT'!#REF!*F2</f>
        <v>#REF!</v>
      </c>
      <c r="C2" s="31" t="e">
        <f>'AMEX CT'!#REF!*F2</f>
        <v>#REF!</v>
      </c>
      <c r="D2" s="32" t="e">
        <f>'AMEX CT'!#REF!*F2</f>
        <v>#REF!</v>
      </c>
      <c r="E2" s="33" t="e">
        <f>'AMEX CT'!#REF!*F2</f>
        <v>#REF!</v>
      </c>
      <c r="F2" s="38">
        <f>IF(Overview!C15="Yes",1,0)</f>
        <v>0</v>
      </c>
    </row>
    <row r="3" spans="1:14" hidden="1" x14ac:dyDescent="0.35">
      <c r="A3" s="29" t="s">
        <v>263</v>
      </c>
      <c r="B3" s="30">
        <f>'AMEX CTL'!B1*F3</f>
        <v>0</v>
      </c>
      <c r="C3" s="31">
        <f>'AMEX CTL'!B2*F3</f>
        <v>0</v>
      </c>
      <c r="D3" s="32">
        <f>'AMEX CTL'!B3*F3</f>
        <v>0</v>
      </c>
      <c r="E3" s="33">
        <f>'AMEX CTL'!B4*F3</f>
        <v>0</v>
      </c>
      <c r="F3" s="38">
        <f>IF(Overview!C16="Yes",1,0)</f>
        <v>0</v>
      </c>
    </row>
    <row r="4" spans="1:14" hidden="1" x14ac:dyDescent="0.35">
      <c r="A4" s="29" t="s">
        <v>264</v>
      </c>
      <c r="B4" s="30">
        <f>'AMEX QC'!B1*F4</f>
        <v>0</v>
      </c>
      <c r="C4" s="31">
        <f>'AMEX QC'!B2*F4</f>
        <v>0</v>
      </c>
      <c r="D4" s="32">
        <f>'AMEX QC'!B3*F4</f>
        <v>0</v>
      </c>
      <c r="E4" s="33">
        <f>'AMEX QC'!B4*F4</f>
        <v>0</v>
      </c>
      <c r="F4" s="38">
        <f>IF(Overview!C17="Yes",1,0)</f>
        <v>0</v>
      </c>
    </row>
    <row r="5" spans="1:14" x14ac:dyDescent="0.35">
      <c r="A5" s="29" t="s">
        <v>265</v>
      </c>
      <c r="B5" s="30" t="e">
        <f>'Discover CT'!#REF!*F5</f>
        <v>#REF!</v>
      </c>
      <c r="C5" s="31" t="e">
        <f>'Discover CT'!#REF!*F5</f>
        <v>#REF!</v>
      </c>
      <c r="D5" s="32" t="e">
        <f>'Discover CT'!#REF!*F5</f>
        <v>#REF!</v>
      </c>
      <c r="E5" s="33" t="e">
        <f>'Discover CT'!#REF!*F5</f>
        <v>#REF!</v>
      </c>
      <c r="F5" s="38">
        <f>IF(Overview!C18="Yes",1,0)</f>
        <v>1</v>
      </c>
    </row>
    <row r="6" spans="1:14" hidden="1" x14ac:dyDescent="0.35">
      <c r="A6" s="29" t="s">
        <v>266</v>
      </c>
      <c r="B6" s="30">
        <f>'Discover CTL'!B1*F6</f>
        <v>0</v>
      </c>
      <c r="C6" s="31">
        <f>'Discover CTL'!B2*F6</f>
        <v>0</v>
      </c>
      <c r="D6" s="32">
        <f>'Discover CTL'!B3*F6</f>
        <v>0</v>
      </c>
      <c r="E6" s="33">
        <f>'Discover CTL'!B4*F6</f>
        <v>0</v>
      </c>
      <c r="F6" s="38">
        <f>IF(Overview!C19="Yes",1,0)</f>
        <v>0</v>
      </c>
    </row>
    <row r="7" spans="1:14" hidden="1" x14ac:dyDescent="0.35">
      <c r="A7" s="29" t="s">
        <v>258</v>
      </c>
      <c r="B7" s="30">
        <f>'FD Superset'!B1*F7</f>
        <v>0</v>
      </c>
      <c r="C7" s="31">
        <f>'FD Superset'!B2*F7</f>
        <v>0</v>
      </c>
      <c r="D7" s="32">
        <f>'FD Superset'!B3*F7</f>
        <v>0</v>
      </c>
      <c r="E7" s="33">
        <f>'FD Superset'!B4*F7</f>
        <v>0</v>
      </c>
      <c r="F7" s="38">
        <f>IF(Overview!C20="Yes",1,0)</f>
        <v>0</v>
      </c>
    </row>
    <row r="8" spans="1:14" x14ac:dyDescent="0.35">
      <c r="A8" s="29" t="s">
        <v>157</v>
      </c>
      <c r="B8" s="30" t="e">
        <f>MasterCard!#REF!*F8</f>
        <v>#REF!</v>
      </c>
      <c r="C8" s="31" t="e">
        <f>MasterCard!#REF!*F8</f>
        <v>#REF!</v>
      </c>
      <c r="D8" s="32" t="e">
        <f>MasterCard!#REF!*F8</f>
        <v>#REF!</v>
      </c>
      <c r="E8" s="33" t="e">
        <f>MasterCard!#REF!*F8</f>
        <v>#REF!</v>
      </c>
      <c r="F8" s="38">
        <f>IF(Overview!C21="Yes",1,0)</f>
        <v>1</v>
      </c>
    </row>
    <row r="9" spans="1:14" x14ac:dyDescent="0.35">
      <c r="A9" s="29" t="s">
        <v>259</v>
      </c>
      <c r="B9" s="30" t="e">
        <f>'VISA CT'!#REF!*F9</f>
        <v>#REF!</v>
      </c>
      <c r="C9" s="31" t="e">
        <f>'VISA CT'!#REF!*F9</f>
        <v>#REF!</v>
      </c>
      <c r="D9" s="32" t="e">
        <f>'VISA CT'!#REF!*F9</f>
        <v>#REF!</v>
      </c>
      <c r="E9" s="33" t="e">
        <f>'VISA CT'!#REF!*F9</f>
        <v>#REF!</v>
      </c>
      <c r="F9" s="38">
        <f>IF(Overview!C22="Yes",1,0)</f>
        <v>1</v>
      </c>
    </row>
    <row r="10" spans="1:14" hidden="1" x14ac:dyDescent="0.35">
      <c r="A10" s="29" t="s">
        <v>260</v>
      </c>
      <c r="B10" s="30">
        <f>'VISA CTL'!B1*F10</f>
        <v>0</v>
      </c>
      <c r="C10" s="31">
        <f>'VISA CTL'!B2*F10</f>
        <v>0</v>
      </c>
      <c r="D10" s="32">
        <f>'VISA CTL'!B3*F10</f>
        <v>0</v>
      </c>
      <c r="E10" s="33">
        <f>'VISA CTL'!B4*F10</f>
        <v>0</v>
      </c>
      <c r="F10" s="38">
        <f>IF(Overview!C23="Yes",1,0)</f>
        <v>0</v>
      </c>
    </row>
    <row r="11" spans="1:14" x14ac:dyDescent="0.35">
      <c r="A11" s="29" t="s">
        <v>261</v>
      </c>
      <c r="B11" s="30" t="e">
        <f>'VISA US Debit'!#REF!*F11</f>
        <v>#REF!</v>
      </c>
      <c r="C11" s="31" t="e">
        <f>'VISA US Debit'!#REF!*F11</f>
        <v>#REF!</v>
      </c>
      <c r="D11" s="32" t="e">
        <f>'VISA US Debit'!#REF!*F11</f>
        <v>#REF!</v>
      </c>
      <c r="E11" s="33" t="e">
        <f>'VISA US Debit'!#REF!*F11</f>
        <v>#REF!</v>
      </c>
      <c r="F11" s="38">
        <f>IF(Overview!C24="Yes",1,0)</f>
        <v>1</v>
      </c>
    </row>
    <row r="12" spans="1:14" hidden="1" x14ac:dyDescent="0.35">
      <c r="A12" s="29" t="s">
        <v>156</v>
      </c>
      <c r="B12" s="30">
        <f>Interac!B1*F12</f>
        <v>0</v>
      </c>
      <c r="C12" s="31">
        <f>Interac!B2*F12</f>
        <v>0</v>
      </c>
      <c r="D12" s="32">
        <f>Interac!B3*F12</f>
        <v>0</v>
      </c>
      <c r="E12" s="33">
        <f>Interac!B4*F12</f>
        <v>0</v>
      </c>
      <c r="F12" s="38">
        <f>IF(Overview!C25="Yes",1,0)</f>
        <v>0</v>
      </c>
    </row>
    <row r="13" spans="1:14" hidden="1" x14ac:dyDescent="0.35">
      <c r="A13" s="22" t="s">
        <v>91</v>
      </c>
      <c r="B13" s="34">
        <f>DNA!B1*F13</f>
        <v>0</v>
      </c>
      <c r="C13" s="35">
        <f>DNA!B2*F13</f>
        <v>0</v>
      </c>
      <c r="D13" s="36">
        <f>DNA!B3*F13</f>
        <v>0</v>
      </c>
      <c r="E13" s="37">
        <f>DNA!B4*F13</f>
        <v>0</v>
      </c>
      <c r="F13" s="38">
        <f>IF(Overview!C26="Yes",1,0)</f>
        <v>0</v>
      </c>
    </row>
    <row r="14" spans="1:14" x14ac:dyDescent="0.35">
      <c r="G14" s="59"/>
    </row>
    <row r="16" spans="1:14" x14ac:dyDescent="0.35">
      <c r="A16" t="s">
        <v>1</v>
      </c>
      <c r="B16" s="39" t="e">
        <f>SUM(B$2:B$13)/SUM(E$2:E$13)</f>
        <v>#REF!</v>
      </c>
    </row>
    <row r="17" spans="1:2" x14ac:dyDescent="0.35">
      <c r="A17" t="s">
        <v>311</v>
      </c>
      <c r="B17" s="39" t="e">
        <f>1-B16</f>
        <v>#REF!</v>
      </c>
    </row>
    <row r="19" spans="1:2" x14ac:dyDescent="0.35">
      <c r="A19" t="s">
        <v>161</v>
      </c>
      <c r="B19" s="40">
        <f ca="1">NETWORKDAYS(Overview!H6,TODAY(),'Field Options'!G2:G12)</f>
        <v>143</v>
      </c>
    </row>
    <row r="20" spans="1:2" x14ac:dyDescent="0.35">
      <c r="A20" t="s">
        <v>162</v>
      </c>
      <c r="B20" s="40">
        <f ca="1">NETWORKDAYS(TODAY(),Overview!G7,'Field Options'!G2:G12)-10</f>
        <v>-220</v>
      </c>
    </row>
  </sheetData>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2:H38"/>
  <sheetViews>
    <sheetView workbookViewId="0">
      <selection activeCell="H12" sqref="H12"/>
    </sheetView>
  </sheetViews>
  <sheetFormatPr defaultRowHeight="14.5" x14ac:dyDescent="0.35"/>
  <cols>
    <col min="2" max="2" width="26.1796875" customWidth="1"/>
    <col min="3" max="3" width="8.26953125" customWidth="1"/>
    <col min="4" max="4" width="20.26953125" customWidth="1"/>
    <col min="6" max="6" width="20.7265625" bestFit="1" customWidth="1"/>
    <col min="7" max="7" width="10.54296875" customWidth="1"/>
    <col min="8" max="8" width="19.453125" customWidth="1"/>
  </cols>
  <sheetData>
    <row r="2" spans="2:8" x14ac:dyDescent="0.35">
      <c r="B2" s="15" t="s">
        <v>218</v>
      </c>
      <c r="D2" s="15" t="s">
        <v>160</v>
      </c>
      <c r="F2" s="15" t="s">
        <v>243</v>
      </c>
      <c r="G2" s="18">
        <v>43101</v>
      </c>
      <c r="H2" t="s">
        <v>244</v>
      </c>
    </row>
    <row r="3" spans="2:8" x14ac:dyDescent="0.35">
      <c r="B3" t="s">
        <v>222</v>
      </c>
      <c r="D3" s="9">
        <f ca="1">TODAY()</f>
        <v>43434</v>
      </c>
      <c r="G3" s="18">
        <v>43115</v>
      </c>
      <c r="H3" t="s">
        <v>245</v>
      </c>
    </row>
    <row r="4" spans="2:8" x14ac:dyDescent="0.35">
      <c r="B4" t="s">
        <v>223</v>
      </c>
      <c r="D4" t="str">
        <f ca="1">TEXT(D3,"MM/DD/YYYY")</f>
        <v>11/30/2018</v>
      </c>
      <c r="G4" s="18">
        <v>43248</v>
      </c>
      <c r="H4" t="s">
        <v>246</v>
      </c>
    </row>
    <row r="5" spans="2:8" x14ac:dyDescent="0.35">
      <c r="B5" t="s">
        <v>224</v>
      </c>
      <c r="G5" s="18">
        <v>43285</v>
      </c>
      <c r="H5" t="s">
        <v>247</v>
      </c>
    </row>
    <row r="6" spans="2:8" x14ac:dyDescent="0.35">
      <c r="B6" t="s">
        <v>225</v>
      </c>
      <c r="G6" s="18">
        <v>43346</v>
      </c>
      <c r="H6" t="s">
        <v>248</v>
      </c>
    </row>
    <row r="7" spans="2:8" x14ac:dyDescent="0.35">
      <c r="B7" t="s">
        <v>226</v>
      </c>
      <c r="G7" s="18">
        <v>43426</v>
      </c>
      <c r="H7" t="s">
        <v>249</v>
      </c>
    </row>
    <row r="8" spans="2:8" x14ac:dyDescent="0.35">
      <c r="B8" t="s">
        <v>227</v>
      </c>
      <c r="G8" s="18">
        <v>43427</v>
      </c>
      <c r="H8" t="s">
        <v>250</v>
      </c>
    </row>
    <row r="9" spans="2:8" x14ac:dyDescent="0.35">
      <c r="G9" s="18">
        <v>43458</v>
      </c>
      <c r="H9" t="s">
        <v>251</v>
      </c>
    </row>
    <row r="10" spans="2:8" x14ac:dyDescent="0.35">
      <c r="B10" s="15" t="s">
        <v>219</v>
      </c>
      <c r="G10" s="18">
        <v>43459</v>
      </c>
      <c r="H10" t="s">
        <v>252</v>
      </c>
    </row>
    <row r="11" spans="2:8" x14ac:dyDescent="0.35">
      <c r="B11" t="s">
        <v>228</v>
      </c>
      <c r="F11" s="15" t="s">
        <v>336</v>
      </c>
      <c r="G11" s="18">
        <v>43150</v>
      </c>
      <c r="H11" t="s">
        <v>337</v>
      </c>
    </row>
    <row r="12" spans="2:8" x14ac:dyDescent="0.35">
      <c r="B12" t="s">
        <v>229</v>
      </c>
      <c r="G12" s="18">
        <v>43416</v>
      </c>
      <c r="H12" t="s">
        <v>338</v>
      </c>
    </row>
    <row r="13" spans="2:8" x14ac:dyDescent="0.35">
      <c r="B13" t="s">
        <v>230</v>
      </c>
      <c r="G13" s="18"/>
    </row>
    <row r="14" spans="2:8" x14ac:dyDescent="0.35">
      <c r="G14" s="18"/>
    </row>
    <row r="15" spans="2:8" x14ac:dyDescent="0.35">
      <c r="B15" s="15" t="s">
        <v>220</v>
      </c>
      <c r="G15" s="18"/>
    </row>
    <row r="16" spans="2:8" x14ac:dyDescent="0.35">
      <c r="B16" t="s">
        <v>232</v>
      </c>
      <c r="G16" s="18"/>
    </row>
    <row r="17" spans="2:7" x14ac:dyDescent="0.35">
      <c r="B17" t="s">
        <v>231</v>
      </c>
      <c r="G17" s="18"/>
    </row>
    <row r="18" spans="2:7" x14ac:dyDescent="0.35">
      <c r="B18" t="s">
        <v>233</v>
      </c>
      <c r="G18" s="18"/>
    </row>
    <row r="19" spans="2:7" x14ac:dyDescent="0.35">
      <c r="G19" s="18"/>
    </row>
    <row r="35" spans="2:2" x14ac:dyDescent="0.35">
      <c r="B35" s="15" t="s">
        <v>267</v>
      </c>
    </row>
    <row r="36" spans="2:2" x14ac:dyDescent="0.35">
      <c r="B36" t="s">
        <v>269</v>
      </c>
    </row>
    <row r="37" spans="2:2" x14ac:dyDescent="0.35">
      <c r="B37" t="s">
        <v>268</v>
      </c>
    </row>
    <row r="38" spans="2:2" x14ac:dyDescent="0.35">
      <c r="B38" t="s">
        <v>309</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D37"/>
  <sheetViews>
    <sheetView tabSelected="1" workbookViewId="0">
      <selection activeCell="E30" sqref="E30"/>
    </sheetView>
  </sheetViews>
  <sheetFormatPr defaultRowHeight="14.5" x14ac:dyDescent="0.35"/>
  <cols>
    <col min="1" max="1" width="11.81640625" customWidth="1"/>
    <col min="3" max="3" width="62.1796875" customWidth="1"/>
  </cols>
  <sheetData>
    <row r="1" spans="1:4" x14ac:dyDescent="0.35">
      <c r="A1" s="4" t="s">
        <v>0</v>
      </c>
      <c r="B1" s="4" t="s">
        <v>5</v>
      </c>
      <c r="C1" s="4" t="s">
        <v>183</v>
      </c>
      <c r="D1" s="4" t="s">
        <v>285</v>
      </c>
    </row>
    <row r="2" spans="1:4" x14ac:dyDescent="0.35">
      <c r="A2" t="s">
        <v>727</v>
      </c>
      <c r="B2" t="s">
        <v>3</v>
      </c>
      <c r="C2" s="5"/>
    </row>
    <row r="3" spans="1:4" x14ac:dyDescent="0.35">
      <c r="A3" t="s">
        <v>728</v>
      </c>
      <c r="B3" t="s">
        <v>3</v>
      </c>
      <c r="C3" s="5"/>
    </row>
    <row r="4" spans="1:4" x14ac:dyDescent="0.35">
      <c r="A4" t="s">
        <v>729</v>
      </c>
      <c r="B4" t="s">
        <v>3</v>
      </c>
      <c r="C4" s="5"/>
    </row>
    <row r="5" spans="1:4" x14ac:dyDescent="0.35">
      <c r="A5" t="s">
        <v>730</v>
      </c>
      <c r="B5" t="s">
        <v>3</v>
      </c>
      <c r="C5" s="5"/>
    </row>
    <row r="6" spans="1:4" x14ac:dyDescent="0.35">
      <c r="A6" t="s">
        <v>731</v>
      </c>
      <c r="B6" t="s">
        <v>3</v>
      </c>
      <c r="C6" s="5"/>
    </row>
    <row r="7" spans="1:4" x14ac:dyDescent="0.35">
      <c r="A7" t="s">
        <v>732</v>
      </c>
      <c r="B7" t="s">
        <v>3</v>
      </c>
      <c r="C7" s="5"/>
    </row>
    <row r="8" spans="1:4" x14ac:dyDescent="0.35">
      <c r="A8" t="s">
        <v>733</v>
      </c>
      <c r="B8" t="s">
        <v>3</v>
      </c>
      <c r="C8" s="5"/>
    </row>
    <row r="9" spans="1:4" x14ac:dyDescent="0.35">
      <c r="A9" t="s">
        <v>734</v>
      </c>
      <c r="B9" t="s">
        <v>3</v>
      </c>
      <c r="C9" s="5"/>
    </row>
    <row r="10" spans="1:4" x14ac:dyDescent="0.35">
      <c r="A10" t="s">
        <v>735</v>
      </c>
      <c r="B10" t="s">
        <v>3</v>
      </c>
      <c r="C10" s="5"/>
    </row>
    <row r="11" spans="1:4" x14ac:dyDescent="0.35">
      <c r="A11" t="s">
        <v>736</v>
      </c>
      <c r="B11" t="s">
        <v>3</v>
      </c>
      <c r="C11" s="5"/>
    </row>
    <row r="12" spans="1:4" x14ac:dyDescent="0.35">
      <c r="A12" t="s">
        <v>737</v>
      </c>
      <c r="B12" t="s">
        <v>3</v>
      </c>
      <c r="C12" s="5"/>
    </row>
    <row r="13" spans="1:4" x14ac:dyDescent="0.35">
      <c r="A13" t="s">
        <v>738</v>
      </c>
      <c r="B13" t="s">
        <v>3</v>
      </c>
      <c r="C13" s="5"/>
    </row>
    <row r="14" spans="1:4" x14ac:dyDescent="0.35">
      <c r="A14" t="s">
        <v>739</v>
      </c>
      <c r="B14" t="s">
        <v>3</v>
      </c>
      <c r="C14" s="5"/>
    </row>
    <row r="15" spans="1:4" x14ac:dyDescent="0.35">
      <c r="A15" t="s">
        <v>740</v>
      </c>
      <c r="B15" t="s">
        <v>3</v>
      </c>
      <c r="C15" s="5"/>
    </row>
    <row r="16" spans="1:4" x14ac:dyDescent="0.35">
      <c r="A16" t="s">
        <v>741</v>
      </c>
      <c r="B16" t="s">
        <v>3</v>
      </c>
      <c r="C16" s="5"/>
    </row>
    <row r="17" spans="1:3" x14ac:dyDescent="0.35">
      <c r="A17" t="s">
        <v>742</v>
      </c>
      <c r="B17" t="s">
        <v>3</v>
      </c>
      <c r="C17" s="5"/>
    </row>
    <row r="18" spans="1:3" x14ac:dyDescent="0.35">
      <c r="A18" t="s">
        <v>743</v>
      </c>
      <c r="B18" t="s">
        <v>3</v>
      </c>
      <c r="C18" s="5"/>
    </row>
    <row r="19" spans="1:3" x14ac:dyDescent="0.35">
      <c r="A19" t="s">
        <v>744</v>
      </c>
      <c r="B19" t="s">
        <v>3</v>
      </c>
      <c r="C19" s="5"/>
    </row>
    <row r="20" spans="1:3" x14ac:dyDescent="0.35">
      <c r="A20" t="s">
        <v>745</v>
      </c>
      <c r="B20" t="s">
        <v>3</v>
      </c>
      <c r="C20" s="5"/>
    </row>
    <row r="21" spans="1:3" x14ac:dyDescent="0.35">
      <c r="A21" t="s">
        <v>746</v>
      </c>
      <c r="B21" t="s">
        <v>3</v>
      </c>
      <c r="C21" s="5"/>
    </row>
    <row r="22" spans="1:3" x14ac:dyDescent="0.35">
      <c r="A22" t="s">
        <v>352</v>
      </c>
      <c r="B22" t="s">
        <v>3</v>
      </c>
      <c r="C22" s="5"/>
    </row>
    <row r="23" spans="1:3" x14ac:dyDescent="0.35">
      <c r="A23" t="s">
        <v>747</v>
      </c>
      <c r="B23" t="s">
        <v>3</v>
      </c>
      <c r="C23" s="5"/>
    </row>
    <row r="24" spans="1:3" x14ac:dyDescent="0.35">
      <c r="A24" t="s">
        <v>748</v>
      </c>
      <c r="B24" t="s">
        <v>3</v>
      </c>
      <c r="C24" s="5"/>
    </row>
    <row r="25" spans="1:3" x14ac:dyDescent="0.35">
      <c r="A25" t="s">
        <v>749</v>
      </c>
      <c r="B25" t="s">
        <v>3</v>
      </c>
      <c r="C25" s="5"/>
    </row>
    <row r="26" spans="1:3" x14ac:dyDescent="0.35">
      <c r="A26" t="s">
        <v>750</v>
      </c>
      <c r="B26" t="s">
        <v>3</v>
      </c>
      <c r="C26" s="5"/>
    </row>
    <row r="27" spans="1:3" x14ac:dyDescent="0.35">
      <c r="A27" t="s">
        <v>751</v>
      </c>
      <c r="B27" t="s">
        <v>3</v>
      </c>
      <c r="C27" s="5"/>
    </row>
    <row r="28" spans="1:3" x14ac:dyDescent="0.35">
      <c r="A28" t="s">
        <v>752</v>
      </c>
      <c r="B28" t="s">
        <v>3</v>
      </c>
      <c r="C28" s="5"/>
    </row>
    <row r="29" spans="1:3" x14ac:dyDescent="0.35">
      <c r="A29" t="s">
        <v>753</v>
      </c>
      <c r="B29" t="s">
        <v>3</v>
      </c>
      <c r="C29" s="5"/>
    </row>
    <row r="30" spans="1:3" x14ac:dyDescent="0.35">
      <c r="A30" t="s">
        <v>754</v>
      </c>
      <c r="B30" t="s">
        <v>3</v>
      </c>
      <c r="C30" s="5"/>
    </row>
    <row r="31" spans="1:3" x14ac:dyDescent="0.35">
      <c r="A31" t="s">
        <v>755</v>
      </c>
      <c r="B31" t="s">
        <v>3</v>
      </c>
      <c r="C31" s="5"/>
    </row>
    <row r="32" spans="1:3" x14ac:dyDescent="0.35">
      <c r="A32" t="s">
        <v>756</v>
      </c>
      <c r="B32" t="s">
        <v>3</v>
      </c>
      <c r="C32" s="5"/>
    </row>
    <row r="33" spans="1:3" x14ac:dyDescent="0.35">
      <c r="A33" t="s">
        <v>359</v>
      </c>
      <c r="B33" t="s">
        <v>3</v>
      </c>
      <c r="C33" s="5"/>
    </row>
    <row r="34" spans="1:3" x14ac:dyDescent="0.35">
      <c r="A34" t="s">
        <v>757</v>
      </c>
      <c r="B34" t="s">
        <v>3</v>
      </c>
      <c r="C34" s="5"/>
    </row>
    <row r="35" spans="1:3" x14ac:dyDescent="0.35">
      <c r="A35" t="s">
        <v>361</v>
      </c>
      <c r="B35" t="s">
        <v>3</v>
      </c>
      <c r="C35" s="5"/>
    </row>
    <row r="36" spans="1:3" x14ac:dyDescent="0.35">
      <c r="A36" t="s">
        <v>758</v>
      </c>
      <c r="B36" t="s">
        <v>3</v>
      </c>
      <c r="C36" s="5"/>
    </row>
    <row r="37" spans="1:3" x14ac:dyDescent="0.35">
      <c r="A37" t="s">
        <v>759</v>
      </c>
      <c r="B37" t="s">
        <v>3</v>
      </c>
      <c r="C37" s="5"/>
    </row>
  </sheetData>
  <conditionalFormatting sqref="A3:A19">
    <cfRule type="expression" dxfId="267" priority="17">
      <formula>B3="Fail"</formula>
    </cfRule>
    <cfRule type="expression" dxfId="266" priority="18">
      <formula>B3="Pending"</formula>
    </cfRule>
  </conditionalFormatting>
  <conditionalFormatting sqref="A3:A19">
    <cfRule type="expression" dxfId="265" priority="16">
      <formula>B3="Pass"</formula>
    </cfRule>
  </conditionalFormatting>
  <conditionalFormatting sqref="A2">
    <cfRule type="expression" dxfId="264" priority="14">
      <formula>B2="Fail"</formula>
    </cfRule>
    <cfRule type="expression" dxfId="263" priority="15">
      <formula>B2="Pending"</formula>
    </cfRule>
  </conditionalFormatting>
  <conditionalFormatting sqref="A2">
    <cfRule type="expression" dxfId="262" priority="13">
      <formula>B2="Pass"</formula>
    </cfRule>
  </conditionalFormatting>
  <conditionalFormatting sqref="A20">
    <cfRule type="expression" dxfId="261" priority="11">
      <formula>B20="Fail"</formula>
    </cfRule>
    <cfRule type="expression" dxfId="260" priority="12">
      <formula>B20="Pending"</formula>
    </cfRule>
  </conditionalFormatting>
  <conditionalFormatting sqref="A20">
    <cfRule type="expression" dxfId="259" priority="10">
      <formula>B20="Pass"</formula>
    </cfRule>
  </conditionalFormatting>
  <conditionalFormatting sqref="A21">
    <cfRule type="expression" dxfId="258" priority="8">
      <formula>B21="Fail"</formula>
    </cfRule>
    <cfRule type="expression" dxfId="257" priority="9">
      <formula>B21="Pending"</formula>
    </cfRule>
  </conditionalFormatting>
  <conditionalFormatting sqref="A21">
    <cfRule type="expression" dxfId="256" priority="7">
      <formula>B21="Pass"</formula>
    </cfRule>
  </conditionalFormatting>
  <conditionalFormatting sqref="A22:A31">
    <cfRule type="expression" dxfId="255" priority="5">
      <formula>B22="Fail"</formula>
    </cfRule>
    <cfRule type="expression" dxfId="254" priority="6">
      <formula>B22="Pending"</formula>
    </cfRule>
  </conditionalFormatting>
  <conditionalFormatting sqref="A22:A31">
    <cfRule type="expression" dxfId="253" priority="4">
      <formula>B22="Pass"</formula>
    </cfRule>
  </conditionalFormatting>
  <conditionalFormatting sqref="A32:A37">
    <cfRule type="expression" dxfId="252" priority="2">
      <formula>B32="Fail"</formula>
    </cfRule>
    <cfRule type="expression" dxfId="251" priority="3">
      <formula>B32="Pending"</formula>
    </cfRule>
  </conditionalFormatting>
  <conditionalFormatting sqref="A32:A37">
    <cfRule type="expression" dxfId="250" priority="1">
      <formula>B32="Pass"</formula>
    </cfRule>
  </conditionalFormatting>
  <dataValidations count="1">
    <dataValidation type="list" allowBlank="1" showInputMessage="1" showErrorMessage="1" sqref="B2:B37" xr:uid="{00000000-0002-0000-0500-000000000000}">
      <formula1>#REF!</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9" operator="containsText" id="{B4AF1C41-344E-4C17-ADD9-E3F3364E115C}">
            <xm:f>NOT(ISERROR(SEARCH(#REF!,B2)))</xm:f>
            <xm:f>#REF!</xm:f>
            <x14:dxf>
              <font>
                <b val="0"/>
                <i val="0"/>
                <color theme="9" tint="-0.499984740745262"/>
              </font>
              <fill>
                <patternFill>
                  <bgColor theme="9" tint="0.59996337778862885"/>
                </patternFill>
              </fill>
            </x14:dxf>
          </x14:cfRule>
          <x14:cfRule type="containsText" priority="20" operator="containsText" id="{5CD9B995-D4B1-4D43-9FE9-1EE8A15CB71C}">
            <xm:f>NOT(ISERROR(SEARCH(#REF!,B2)))</xm:f>
            <xm:f>#REF!</xm:f>
            <x14:dxf>
              <font>
                <b val="0"/>
                <i val="0"/>
                <color rgb="FFC00000"/>
              </font>
              <fill>
                <patternFill>
                  <bgColor rgb="FFFFCCCC"/>
                </patternFill>
              </fill>
            </x14:dxf>
          </x14:cfRule>
          <x14:cfRule type="containsText" priority="21" operator="containsText" id="{33656403-6DAF-400F-BF19-B68E52C0E2B7}">
            <xm:f>NOT(ISERROR(SEARCH(#REF!,B2)))</xm:f>
            <xm:f>#REF!</xm:f>
            <x14:dxf>
              <font>
                <b val="0"/>
                <i val="0"/>
                <color theme="7" tint="-0.499984740745262"/>
              </font>
              <fill>
                <patternFill>
                  <bgColor theme="7" tint="0.59996337778862885"/>
                </patternFill>
              </fill>
            </x14:dxf>
          </x14:cfRule>
          <xm:sqref>B2:B37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Overview!$C$9:$C$12</xm:f>
          </x14:formula1>
          <xm:sqref>D2:D37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D35"/>
  <sheetViews>
    <sheetView workbookViewId="0">
      <selection activeCell="D6" sqref="D6"/>
    </sheetView>
  </sheetViews>
  <sheetFormatPr defaultRowHeight="14.5" x14ac:dyDescent="0.35"/>
  <cols>
    <col min="1" max="1" width="14.54296875" customWidth="1"/>
    <col min="3" max="3" width="62.1796875" customWidth="1"/>
    <col min="4" max="4" width="12.81640625" customWidth="1"/>
  </cols>
  <sheetData>
    <row r="1" spans="1:4" x14ac:dyDescent="0.35">
      <c r="A1" s="1" t="s">
        <v>1</v>
      </c>
      <c r="B1">
        <f>COUNTIF(Table21011[Result],"Pass")</f>
        <v>0</v>
      </c>
    </row>
    <row r="2" spans="1:4" x14ac:dyDescent="0.35">
      <c r="A2" s="2" t="s">
        <v>2</v>
      </c>
      <c r="B2">
        <f>COUNTIF(Table21011[Result],"Fail")</f>
        <v>0</v>
      </c>
    </row>
    <row r="3" spans="1:4" x14ac:dyDescent="0.35">
      <c r="A3" s="3" t="s">
        <v>3</v>
      </c>
      <c r="B3">
        <f>COUNTIF(Table21011[Result],"Pending")</f>
        <v>20</v>
      </c>
    </row>
    <row r="4" spans="1:4" x14ac:dyDescent="0.35">
      <c r="A4" t="s">
        <v>4</v>
      </c>
      <c r="B4">
        <f>COUNTA(Table21011[Result])</f>
        <v>20</v>
      </c>
    </row>
    <row r="5" spans="1:4" x14ac:dyDescent="0.35">
      <c r="A5" s="4" t="s">
        <v>0</v>
      </c>
      <c r="B5" s="4" t="s">
        <v>5</v>
      </c>
      <c r="C5" s="4" t="s">
        <v>183</v>
      </c>
      <c r="D5" s="4" t="s">
        <v>285</v>
      </c>
    </row>
    <row r="6" spans="1:4" x14ac:dyDescent="0.35">
      <c r="A6" t="s">
        <v>163</v>
      </c>
      <c r="B6" t="s">
        <v>3</v>
      </c>
      <c r="C6" s="5"/>
    </row>
    <row r="7" spans="1:4" x14ac:dyDescent="0.35">
      <c r="A7" t="s">
        <v>164</v>
      </c>
      <c r="B7" t="s">
        <v>3</v>
      </c>
      <c r="C7" s="5"/>
    </row>
    <row r="8" spans="1:4" x14ac:dyDescent="0.35">
      <c r="A8" t="s">
        <v>165</v>
      </c>
      <c r="B8" t="s">
        <v>3</v>
      </c>
      <c r="C8" s="5"/>
    </row>
    <row r="9" spans="1:4" x14ac:dyDescent="0.35">
      <c r="A9" t="s">
        <v>166</v>
      </c>
      <c r="B9" t="s">
        <v>3</v>
      </c>
      <c r="C9" s="5"/>
    </row>
    <row r="10" spans="1:4" x14ac:dyDescent="0.35">
      <c r="A10" t="s">
        <v>167</v>
      </c>
      <c r="B10" t="s">
        <v>3</v>
      </c>
      <c r="C10" s="5"/>
    </row>
    <row r="11" spans="1:4" x14ac:dyDescent="0.35">
      <c r="A11" t="s">
        <v>168</v>
      </c>
      <c r="B11" t="s">
        <v>3</v>
      </c>
      <c r="C11" s="5"/>
    </row>
    <row r="12" spans="1:4" x14ac:dyDescent="0.35">
      <c r="A12" t="s">
        <v>169</v>
      </c>
      <c r="B12" t="s">
        <v>3</v>
      </c>
      <c r="C12" s="5"/>
    </row>
    <row r="13" spans="1:4" x14ac:dyDescent="0.35">
      <c r="A13" t="s">
        <v>170</v>
      </c>
      <c r="B13" t="s">
        <v>3</v>
      </c>
      <c r="C13" s="5"/>
    </row>
    <row r="14" spans="1:4" x14ac:dyDescent="0.35">
      <c r="A14" t="s">
        <v>171</v>
      </c>
      <c r="B14" t="s">
        <v>3</v>
      </c>
      <c r="C14" s="5"/>
    </row>
    <row r="15" spans="1:4" x14ac:dyDescent="0.35">
      <c r="A15" t="s">
        <v>172</v>
      </c>
      <c r="B15" t="s">
        <v>3</v>
      </c>
      <c r="C15" s="5"/>
    </row>
    <row r="16" spans="1:4" x14ac:dyDescent="0.35">
      <c r="A16" t="s">
        <v>173</v>
      </c>
      <c r="B16" t="s">
        <v>3</v>
      </c>
      <c r="C16" s="5"/>
    </row>
    <row r="17" spans="1:3" x14ac:dyDescent="0.35">
      <c r="A17" t="s">
        <v>174</v>
      </c>
      <c r="B17" t="s">
        <v>3</v>
      </c>
      <c r="C17" s="5"/>
    </row>
    <row r="18" spans="1:3" x14ac:dyDescent="0.35">
      <c r="A18" t="s">
        <v>175</v>
      </c>
      <c r="B18" t="s">
        <v>3</v>
      </c>
      <c r="C18" s="5"/>
    </row>
    <row r="19" spans="1:3" x14ac:dyDescent="0.35">
      <c r="A19" t="s">
        <v>176</v>
      </c>
      <c r="B19" t="s">
        <v>3</v>
      </c>
      <c r="C19" s="5"/>
    </row>
    <row r="20" spans="1:3" x14ac:dyDescent="0.35">
      <c r="A20" t="s">
        <v>177</v>
      </c>
      <c r="B20" t="s">
        <v>3</v>
      </c>
      <c r="C20" s="5"/>
    </row>
    <row r="21" spans="1:3" x14ac:dyDescent="0.35">
      <c r="A21" t="s">
        <v>178</v>
      </c>
      <c r="B21" t="s">
        <v>3</v>
      </c>
      <c r="C21" s="5"/>
    </row>
    <row r="22" spans="1:3" x14ac:dyDescent="0.35">
      <c r="A22" t="s">
        <v>179</v>
      </c>
      <c r="B22" t="s">
        <v>3</v>
      </c>
      <c r="C22" s="5"/>
    </row>
    <row r="23" spans="1:3" x14ac:dyDescent="0.35">
      <c r="A23" t="s">
        <v>180</v>
      </c>
      <c r="B23" t="s">
        <v>3</v>
      </c>
      <c r="C23" s="5"/>
    </row>
    <row r="24" spans="1:3" x14ac:dyDescent="0.35">
      <c r="A24" t="s">
        <v>181</v>
      </c>
      <c r="B24" t="s">
        <v>3</v>
      </c>
      <c r="C24" s="5"/>
    </row>
    <row r="25" spans="1:3" x14ac:dyDescent="0.35">
      <c r="A25" t="s">
        <v>182</v>
      </c>
      <c r="B25" t="s">
        <v>3</v>
      </c>
      <c r="C25" s="5"/>
    </row>
    <row r="26" spans="1:3" x14ac:dyDescent="0.35">
      <c r="C26" s="5"/>
    </row>
    <row r="27" spans="1:3" x14ac:dyDescent="0.35">
      <c r="C27" s="5"/>
    </row>
    <row r="28" spans="1:3" x14ac:dyDescent="0.35">
      <c r="C28" s="5"/>
    </row>
    <row r="29" spans="1:3" x14ac:dyDescent="0.35">
      <c r="C29" s="5"/>
    </row>
    <row r="30" spans="1:3" x14ac:dyDescent="0.35">
      <c r="C30" s="5"/>
    </row>
    <row r="31" spans="1:3" x14ac:dyDescent="0.35">
      <c r="C31" s="5"/>
    </row>
    <row r="32" spans="1:3" x14ac:dyDescent="0.35">
      <c r="C32" s="5"/>
    </row>
    <row r="33" spans="3:3" x14ac:dyDescent="0.35">
      <c r="C33" s="5"/>
    </row>
    <row r="34" spans="3:3" x14ac:dyDescent="0.35">
      <c r="C34" s="5"/>
    </row>
    <row r="35" spans="3:3" x14ac:dyDescent="0.35">
      <c r="C35" s="5"/>
    </row>
  </sheetData>
  <conditionalFormatting sqref="A7:A23">
    <cfRule type="expression" dxfId="244" priority="14">
      <formula>B7="Fail"</formula>
    </cfRule>
    <cfRule type="expression" dxfId="243" priority="15">
      <formula>B7="Pending"</formula>
    </cfRule>
  </conditionalFormatting>
  <conditionalFormatting sqref="A7:A23">
    <cfRule type="expression" dxfId="242" priority="13">
      <formula>B7="Pass"</formula>
    </cfRule>
  </conditionalFormatting>
  <conditionalFormatting sqref="A6">
    <cfRule type="expression" dxfId="241" priority="11">
      <formula>B6="Fail"</formula>
    </cfRule>
    <cfRule type="expression" dxfId="240" priority="12">
      <formula>B6="Pending"</formula>
    </cfRule>
  </conditionalFormatting>
  <conditionalFormatting sqref="A6">
    <cfRule type="expression" dxfId="239" priority="10">
      <formula>B6="Pass"</formula>
    </cfRule>
  </conditionalFormatting>
  <conditionalFormatting sqref="A24">
    <cfRule type="expression" dxfId="238" priority="8">
      <formula>B24="Fail"</formula>
    </cfRule>
    <cfRule type="expression" dxfId="237" priority="9">
      <formula>B24="Pending"</formula>
    </cfRule>
  </conditionalFormatting>
  <conditionalFormatting sqref="A24">
    <cfRule type="expression" dxfId="236" priority="7">
      <formula>B24="Pass"</formula>
    </cfRule>
  </conditionalFormatting>
  <conditionalFormatting sqref="A25">
    <cfRule type="expression" dxfId="235" priority="5">
      <formula>B25="Fail"</formula>
    </cfRule>
    <cfRule type="expression" dxfId="234" priority="6">
      <formula>B25="Pending"</formula>
    </cfRule>
  </conditionalFormatting>
  <conditionalFormatting sqref="A25">
    <cfRule type="expression" dxfId="233" priority="4">
      <formula>B25="Pass"</formula>
    </cfRule>
  </conditionalFormatting>
  <conditionalFormatting sqref="A26:A35">
    <cfRule type="expression" dxfId="232" priority="2">
      <formula>B26="Fail"</formula>
    </cfRule>
    <cfRule type="expression" dxfId="231" priority="3">
      <formula>B26="Pending"</formula>
    </cfRule>
  </conditionalFormatting>
  <conditionalFormatting sqref="A26:A35">
    <cfRule type="expression" dxfId="230" priority="1">
      <formula>B26="Pass"</formula>
    </cfRule>
  </conditionalFormatting>
  <dataValidations count="1">
    <dataValidation type="list" allowBlank="1" showInputMessage="1" showErrorMessage="1" sqref="B6:B25" xr:uid="{00000000-0002-0000-0600-000000000000}">
      <formula1>$A$1:$A$3</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6" operator="containsText" id="{ABAED45C-B614-4784-A279-586596C5FF96}">
            <xm:f>NOT(ISERROR(SEARCH($A$1,B6)))</xm:f>
            <xm:f>$A$1</xm:f>
            <x14:dxf>
              <font>
                <b val="0"/>
                <i val="0"/>
                <color theme="9" tint="-0.499984740745262"/>
              </font>
              <fill>
                <patternFill>
                  <bgColor theme="9" tint="0.59996337778862885"/>
                </patternFill>
              </fill>
            </x14:dxf>
          </x14:cfRule>
          <x14:cfRule type="containsText" priority="17" operator="containsText" id="{802809A5-ADED-4DD0-9AE2-D913A8B493DA}">
            <xm:f>NOT(ISERROR(SEARCH($A$2,B6)))</xm:f>
            <xm:f>$A$2</xm:f>
            <x14:dxf>
              <font>
                <b val="0"/>
                <i val="0"/>
                <color rgb="FFC00000"/>
              </font>
              <fill>
                <patternFill>
                  <bgColor rgb="FFFFCCCC"/>
                </patternFill>
              </fill>
            </x14:dxf>
          </x14:cfRule>
          <x14:cfRule type="containsText" priority="18" operator="containsText" id="{28E07B7C-4E7B-4E45-B9FE-227595513EAD}">
            <xm:f>NOT(ISERROR(SEARCH($A$3,B6)))</xm:f>
            <xm:f>$A$3</xm:f>
            <x14:dxf>
              <font>
                <b val="0"/>
                <i val="0"/>
                <color theme="7" tint="-0.499984740745262"/>
              </font>
              <fill>
                <patternFill>
                  <bgColor theme="7" tint="0.59996337778862885"/>
                </patternFill>
              </fill>
            </x14:dxf>
          </x14:cfRule>
          <xm:sqref>B6:B25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Overview!$C$9:$C$12</xm:f>
          </x14:formula1>
          <xm:sqref>D6:D25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D35"/>
  <sheetViews>
    <sheetView workbookViewId="0">
      <selection activeCell="D7" sqref="D7"/>
    </sheetView>
  </sheetViews>
  <sheetFormatPr defaultRowHeight="14.5" x14ac:dyDescent="0.35"/>
  <cols>
    <col min="1" max="1" width="14.54296875" customWidth="1"/>
    <col min="3" max="3" width="62.1796875" customWidth="1"/>
    <col min="4" max="4" width="12.81640625" customWidth="1"/>
  </cols>
  <sheetData>
    <row r="1" spans="1:4" x14ac:dyDescent="0.35">
      <c r="A1" s="1" t="s">
        <v>1</v>
      </c>
      <c r="B1">
        <f>COUNTIF(Table2101118[Result],"Pass")</f>
        <v>0</v>
      </c>
    </row>
    <row r="2" spans="1:4" x14ac:dyDescent="0.35">
      <c r="A2" s="2" t="s">
        <v>2</v>
      </c>
      <c r="B2">
        <f>COUNTIF(Table2101118[Result],"Fail")</f>
        <v>0</v>
      </c>
    </row>
    <row r="3" spans="1:4" x14ac:dyDescent="0.35">
      <c r="A3" s="3" t="s">
        <v>3</v>
      </c>
      <c r="B3">
        <f>COUNTIF(Table2101118[Result],"Pending")</f>
        <v>20</v>
      </c>
    </row>
    <row r="4" spans="1:4" x14ac:dyDescent="0.35">
      <c r="A4" t="s">
        <v>4</v>
      </c>
      <c r="B4">
        <f>COUNTA(Table2101118[Result])</f>
        <v>20</v>
      </c>
    </row>
    <row r="5" spans="1:4" x14ac:dyDescent="0.35">
      <c r="A5" s="4" t="s">
        <v>0</v>
      </c>
      <c r="B5" s="4" t="s">
        <v>5</v>
      </c>
      <c r="C5" s="4" t="s">
        <v>183</v>
      </c>
      <c r="D5" s="4" t="s">
        <v>285</v>
      </c>
    </row>
    <row r="6" spans="1:4" x14ac:dyDescent="0.35">
      <c r="A6" t="s">
        <v>289</v>
      </c>
      <c r="B6" t="s">
        <v>3</v>
      </c>
      <c r="C6" s="5"/>
    </row>
    <row r="7" spans="1:4" x14ac:dyDescent="0.35">
      <c r="A7" t="s">
        <v>290</v>
      </c>
      <c r="B7" t="s">
        <v>3</v>
      </c>
      <c r="C7" s="5"/>
    </row>
    <row r="8" spans="1:4" x14ac:dyDescent="0.35">
      <c r="A8" t="s">
        <v>291</v>
      </c>
      <c r="B8" t="s">
        <v>3</v>
      </c>
      <c r="C8" s="5"/>
    </row>
    <row r="9" spans="1:4" x14ac:dyDescent="0.35">
      <c r="A9" t="s">
        <v>292</v>
      </c>
      <c r="B9" t="s">
        <v>3</v>
      </c>
      <c r="C9" s="5"/>
    </row>
    <row r="10" spans="1:4" x14ac:dyDescent="0.35">
      <c r="A10" t="s">
        <v>293</v>
      </c>
      <c r="B10" t="s">
        <v>3</v>
      </c>
      <c r="C10" s="5"/>
    </row>
    <row r="11" spans="1:4" x14ac:dyDescent="0.35">
      <c r="A11" t="s">
        <v>294</v>
      </c>
      <c r="B11" t="s">
        <v>3</v>
      </c>
      <c r="C11" s="5"/>
    </row>
    <row r="12" spans="1:4" x14ac:dyDescent="0.35">
      <c r="A12" t="s">
        <v>295</v>
      </c>
      <c r="B12" t="s">
        <v>3</v>
      </c>
      <c r="C12" s="5"/>
    </row>
    <row r="13" spans="1:4" x14ac:dyDescent="0.35">
      <c r="A13" t="s">
        <v>296</v>
      </c>
      <c r="B13" t="s">
        <v>3</v>
      </c>
      <c r="C13" s="5"/>
    </row>
    <row r="14" spans="1:4" x14ac:dyDescent="0.35">
      <c r="A14" t="s">
        <v>297</v>
      </c>
      <c r="B14" t="s">
        <v>3</v>
      </c>
      <c r="C14" s="5"/>
    </row>
    <row r="15" spans="1:4" x14ac:dyDescent="0.35">
      <c r="A15" t="s">
        <v>298</v>
      </c>
      <c r="B15" t="s">
        <v>3</v>
      </c>
      <c r="C15" s="5"/>
    </row>
    <row r="16" spans="1:4" x14ac:dyDescent="0.35">
      <c r="A16" t="s">
        <v>299</v>
      </c>
      <c r="B16" t="s">
        <v>3</v>
      </c>
      <c r="C16" s="5"/>
    </row>
    <row r="17" spans="1:3" x14ac:dyDescent="0.35">
      <c r="A17" t="s">
        <v>300</v>
      </c>
      <c r="B17" t="s">
        <v>3</v>
      </c>
      <c r="C17" s="5"/>
    </row>
    <row r="18" spans="1:3" x14ac:dyDescent="0.35">
      <c r="A18" t="s">
        <v>301</v>
      </c>
      <c r="B18" t="s">
        <v>3</v>
      </c>
      <c r="C18" s="5"/>
    </row>
    <row r="19" spans="1:3" x14ac:dyDescent="0.35">
      <c r="A19" t="s">
        <v>302</v>
      </c>
      <c r="B19" t="s">
        <v>3</v>
      </c>
      <c r="C19" s="5"/>
    </row>
    <row r="20" spans="1:3" x14ac:dyDescent="0.35">
      <c r="A20" t="s">
        <v>303</v>
      </c>
      <c r="B20" t="s">
        <v>3</v>
      </c>
      <c r="C20" s="5"/>
    </row>
    <row r="21" spans="1:3" x14ac:dyDescent="0.35">
      <c r="A21" t="s">
        <v>304</v>
      </c>
      <c r="B21" t="s">
        <v>3</v>
      </c>
      <c r="C21" s="5"/>
    </row>
    <row r="22" spans="1:3" x14ac:dyDescent="0.35">
      <c r="A22" t="s">
        <v>305</v>
      </c>
      <c r="B22" t="s">
        <v>3</v>
      </c>
      <c r="C22" s="5"/>
    </row>
    <row r="23" spans="1:3" x14ac:dyDescent="0.35">
      <c r="A23" t="s">
        <v>306</v>
      </c>
      <c r="B23" t="s">
        <v>3</v>
      </c>
      <c r="C23" s="5"/>
    </row>
    <row r="24" spans="1:3" x14ac:dyDescent="0.35">
      <c r="A24" t="s">
        <v>307</v>
      </c>
      <c r="B24" t="s">
        <v>3</v>
      </c>
      <c r="C24" s="5"/>
    </row>
    <row r="25" spans="1:3" x14ac:dyDescent="0.35">
      <c r="A25" t="s">
        <v>308</v>
      </c>
      <c r="B25" t="s">
        <v>3</v>
      </c>
      <c r="C25" s="5"/>
    </row>
    <row r="26" spans="1:3" x14ac:dyDescent="0.35">
      <c r="C26" s="5"/>
    </row>
    <row r="27" spans="1:3" x14ac:dyDescent="0.35">
      <c r="C27" s="5"/>
    </row>
    <row r="28" spans="1:3" x14ac:dyDescent="0.35">
      <c r="C28" s="5"/>
    </row>
    <row r="29" spans="1:3" x14ac:dyDescent="0.35">
      <c r="C29" s="5"/>
    </row>
    <row r="30" spans="1:3" x14ac:dyDescent="0.35">
      <c r="C30" s="5"/>
    </row>
    <row r="31" spans="1:3" x14ac:dyDescent="0.35">
      <c r="C31" s="5"/>
    </row>
    <row r="32" spans="1:3" x14ac:dyDescent="0.35">
      <c r="C32" s="5"/>
    </row>
    <row r="33" spans="3:3" x14ac:dyDescent="0.35">
      <c r="C33" s="5"/>
    </row>
    <row r="34" spans="3:3" x14ac:dyDescent="0.35">
      <c r="C34" s="5"/>
    </row>
    <row r="35" spans="3:3" x14ac:dyDescent="0.35">
      <c r="C35" s="5"/>
    </row>
  </sheetData>
  <conditionalFormatting sqref="A7:A23">
    <cfRule type="expression" dxfId="224" priority="14">
      <formula>B7="Fail"</formula>
    </cfRule>
    <cfRule type="expression" dxfId="223" priority="15">
      <formula>B7="Pending"</formula>
    </cfRule>
  </conditionalFormatting>
  <conditionalFormatting sqref="A7:A23">
    <cfRule type="expression" dxfId="222" priority="13">
      <formula>B7="Pass"</formula>
    </cfRule>
  </conditionalFormatting>
  <conditionalFormatting sqref="A6">
    <cfRule type="expression" dxfId="221" priority="11">
      <formula>B6="Fail"</formula>
    </cfRule>
    <cfRule type="expression" dxfId="220" priority="12">
      <formula>B6="Pending"</formula>
    </cfRule>
  </conditionalFormatting>
  <conditionalFormatting sqref="A6">
    <cfRule type="expression" dxfId="219" priority="10">
      <formula>B6="Pass"</formula>
    </cfRule>
  </conditionalFormatting>
  <conditionalFormatting sqref="A24">
    <cfRule type="expression" dxfId="218" priority="8">
      <formula>B24="Fail"</formula>
    </cfRule>
    <cfRule type="expression" dxfId="217" priority="9">
      <formula>B24="Pending"</formula>
    </cfRule>
  </conditionalFormatting>
  <conditionalFormatting sqref="A24">
    <cfRule type="expression" dxfId="216" priority="7">
      <formula>B24="Pass"</formula>
    </cfRule>
  </conditionalFormatting>
  <conditionalFormatting sqref="A25">
    <cfRule type="expression" dxfId="215" priority="5">
      <formula>B25="Fail"</formula>
    </cfRule>
    <cfRule type="expression" dxfId="214" priority="6">
      <formula>B25="Pending"</formula>
    </cfRule>
  </conditionalFormatting>
  <conditionalFormatting sqref="A25">
    <cfRule type="expression" dxfId="213" priority="4">
      <formula>B25="Pass"</formula>
    </cfRule>
  </conditionalFormatting>
  <conditionalFormatting sqref="A26:A35">
    <cfRule type="expression" dxfId="212" priority="2">
      <formula>B26="Fail"</formula>
    </cfRule>
    <cfRule type="expression" dxfId="211" priority="3">
      <formula>B26="Pending"</formula>
    </cfRule>
  </conditionalFormatting>
  <conditionalFormatting sqref="A26:A35">
    <cfRule type="expression" dxfId="210" priority="1">
      <formula>B26="Pass"</formula>
    </cfRule>
  </conditionalFormatting>
  <dataValidations count="1">
    <dataValidation type="list" allowBlank="1" showInputMessage="1" showErrorMessage="1" sqref="B6:B25" xr:uid="{00000000-0002-0000-0700-000000000000}">
      <formula1>$A$1:$A$3</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6" operator="containsText" id="{C6B7B3F4-EA9F-415A-9CC6-19DAAEEBE524}">
            <xm:f>NOT(ISERROR(SEARCH($A$1,B6)))</xm:f>
            <xm:f>$A$1</xm:f>
            <x14:dxf>
              <font>
                <b val="0"/>
                <i val="0"/>
                <color theme="9" tint="-0.499984740745262"/>
              </font>
              <fill>
                <patternFill>
                  <bgColor theme="9" tint="0.59996337778862885"/>
                </patternFill>
              </fill>
            </x14:dxf>
          </x14:cfRule>
          <x14:cfRule type="containsText" priority="17" operator="containsText" id="{6315F507-B54C-48E4-8203-25AA786D9B09}">
            <xm:f>NOT(ISERROR(SEARCH($A$2,B6)))</xm:f>
            <xm:f>$A$2</xm:f>
            <x14:dxf>
              <font>
                <b val="0"/>
                <i val="0"/>
                <color rgb="FFC00000"/>
              </font>
              <fill>
                <patternFill>
                  <bgColor rgb="FFFFCCCC"/>
                </patternFill>
              </fill>
            </x14:dxf>
          </x14:cfRule>
          <x14:cfRule type="containsText" priority="18" operator="containsText" id="{AD30FB7F-A1E1-4CE9-80C6-ECCE8AB5813C}">
            <xm:f>NOT(ISERROR(SEARCH($A$3,B6)))</xm:f>
            <xm:f>$A$3</xm:f>
            <x14:dxf>
              <font>
                <b val="0"/>
                <i val="0"/>
                <color theme="7" tint="-0.499984740745262"/>
              </font>
              <fill>
                <patternFill>
                  <bgColor theme="7" tint="0.59996337778862885"/>
                </patternFill>
              </fill>
            </x14:dxf>
          </x14:cfRule>
          <xm:sqref>B6:B25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Overview!$C$9:$C$12</xm:f>
          </x14:formula1>
          <xm:sqref>D6:D25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46"/>
  <sheetViews>
    <sheetView workbookViewId="0">
      <selection activeCell="E6" sqref="E6"/>
    </sheetView>
  </sheetViews>
  <sheetFormatPr defaultRowHeight="14.5" x14ac:dyDescent="0.35"/>
  <cols>
    <col min="1" max="1" width="10.7265625" customWidth="1"/>
    <col min="3" max="3" width="87.7265625" style="5" customWidth="1"/>
    <col min="4" max="4" width="12.81640625" customWidth="1"/>
    <col min="5" max="5" width="54.81640625" customWidth="1"/>
  </cols>
  <sheetData>
    <row r="1" spans="1:5" x14ac:dyDescent="0.35">
      <c r="A1" s="4" t="s">
        <v>0</v>
      </c>
      <c r="B1" s="4" t="s">
        <v>5</v>
      </c>
      <c r="C1" s="4" t="s">
        <v>90</v>
      </c>
      <c r="D1" s="4" t="s">
        <v>285</v>
      </c>
      <c r="E1" s="230" t="s">
        <v>636</v>
      </c>
    </row>
    <row r="2" spans="1:5" x14ac:dyDescent="0.35">
      <c r="A2" t="s">
        <v>6</v>
      </c>
      <c r="B2" t="s">
        <v>3</v>
      </c>
      <c r="C2" s="5" t="s">
        <v>712</v>
      </c>
      <c r="D2" t="s">
        <v>676</v>
      </c>
    </row>
    <row r="3" spans="1:5" x14ac:dyDescent="0.35">
      <c r="A3" t="s">
        <v>7</v>
      </c>
      <c r="B3" t="s">
        <v>1</v>
      </c>
    </row>
    <row r="4" spans="1:5" x14ac:dyDescent="0.35">
      <c r="A4" t="s">
        <v>8</v>
      </c>
      <c r="B4" t="s">
        <v>1</v>
      </c>
    </row>
    <row r="5" spans="1:5" x14ac:dyDescent="0.35">
      <c r="A5" t="s">
        <v>9</v>
      </c>
      <c r="B5" t="s">
        <v>1</v>
      </c>
    </row>
    <row r="6" spans="1:5" x14ac:dyDescent="0.35">
      <c r="A6" t="s">
        <v>10</v>
      </c>
      <c r="B6" t="s">
        <v>1</v>
      </c>
      <c r="C6" s="5" t="s">
        <v>713</v>
      </c>
      <c r="D6" t="s">
        <v>676</v>
      </c>
    </row>
    <row r="7" spans="1:5" x14ac:dyDescent="0.35">
      <c r="A7" t="s">
        <v>11</v>
      </c>
      <c r="B7" t="s">
        <v>1</v>
      </c>
    </row>
    <row r="8" spans="1:5" x14ac:dyDescent="0.35">
      <c r="A8" t="s">
        <v>12</v>
      </c>
      <c r="B8" t="s">
        <v>1</v>
      </c>
    </row>
    <row r="9" spans="1:5" x14ac:dyDescent="0.35">
      <c r="A9" t="s">
        <v>656</v>
      </c>
      <c r="B9" t="s">
        <v>3</v>
      </c>
      <c r="C9" s="5" t="s">
        <v>714</v>
      </c>
      <c r="D9" t="s">
        <v>676</v>
      </c>
    </row>
    <row r="10" spans="1:5" x14ac:dyDescent="0.35">
      <c r="A10" t="s">
        <v>657</v>
      </c>
      <c r="B10" t="s">
        <v>1</v>
      </c>
    </row>
    <row r="11" spans="1:5" x14ac:dyDescent="0.35">
      <c r="A11" t="s">
        <v>13</v>
      </c>
      <c r="B11" t="s">
        <v>1</v>
      </c>
    </row>
    <row r="12" spans="1:5" x14ac:dyDescent="0.35">
      <c r="A12" t="s">
        <v>14</v>
      </c>
      <c r="B12" t="s">
        <v>1</v>
      </c>
    </row>
    <row r="13" spans="1:5" x14ac:dyDescent="0.35">
      <c r="A13" t="s">
        <v>15</v>
      </c>
      <c r="B13" t="s">
        <v>1</v>
      </c>
    </row>
    <row r="14" spans="1:5" x14ac:dyDescent="0.35">
      <c r="A14" t="s">
        <v>16</v>
      </c>
      <c r="B14" t="s">
        <v>1</v>
      </c>
    </row>
    <row r="15" spans="1:5" x14ac:dyDescent="0.35">
      <c r="A15" t="s">
        <v>17</v>
      </c>
      <c r="B15" t="s">
        <v>1</v>
      </c>
    </row>
    <row r="16" spans="1:5" x14ac:dyDescent="0.35">
      <c r="A16" t="s">
        <v>18</v>
      </c>
      <c r="B16" t="s">
        <v>1</v>
      </c>
    </row>
    <row r="17" spans="1:4" x14ac:dyDescent="0.35">
      <c r="A17" t="s">
        <v>19</v>
      </c>
      <c r="B17" t="s">
        <v>1</v>
      </c>
    </row>
    <row r="18" spans="1:4" x14ac:dyDescent="0.35">
      <c r="A18" t="s">
        <v>20</v>
      </c>
      <c r="B18" t="s">
        <v>1</v>
      </c>
    </row>
    <row r="19" spans="1:4" x14ac:dyDescent="0.35">
      <c r="A19" t="s">
        <v>21</v>
      </c>
      <c r="B19" t="s">
        <v>1</v>
      </c>
    </row>
    <row r="20" spans="1:4" x14ac:dyDescent="0.35">
      <c r="A20" t="s">
        <v>22</v>
      </c>
      <c r="B20" t="s">
        <v>1</v>
      </c>
    </row>
    <row r="21" spans="1:4" x14ac:dyDescent="0.35">
      <c r="A21" t="s">
        <v>23</v>
      </c>
      <c r="B21" t="s">
        <v>1</v>
      </c>
    </row>
    <row r="22" spans="1:4" x14ac:dyDescent="0.35">
      <c r="A22" t="s">
        <v>658</v>
      </c>
      <c r="B22" t="s">
        <v>1</v>
      </c>
    </row>
    <row r="23" spans="1:4" x14ac:dyDescent="0.35">
      <c r="A23" t="s">
        <v>726</v>
      </c>
      <c r="B23" t="s">
        <v>1</v>
      </c>
    </row>
    <row r="24" spans="1:4" x14ac:dyDescent="0.35">
      <c r="A24" t="s">
        <v>24</v>
      </c>
      <c r="B24" t="s">
        <v>2</v>
      </c>
      <c r="C24" s="5" t="s">
        <v>715</v>
      </c>
      <c r="D24" t="s">
        <v>676</v>
      </c>
    </row>
    <row r="25" spans="1:4" x14ac:dyDescent="0.35">
      <c r="A25" t="s">
        <v>25</v>
      </c>
      <c r="B25" t="s">
        <v>1</v>
      </c>
      <c r="C25" s="5" t="s">
        <v>713</v>
      </c>
    </row>
    <row r="26" spans="1:4" x14ac:dyDescent="0.35">
      <c r="A26" t="s">
        <v>26</v>
      </c>
      <c r="B26" t="s">
        <v>1</v>
      </c>
    </row>
    <row r="27" spans="1:4" x14ac:dyDescent="0.35">
      <c r="A27" t="s">
        <v>27</v>
      </c>
      <c r="B27" t="s">
        <v>3</v>
      </c>
      <c r="C27" s="5" t="s">
        <v>714</v>
      </c>
      <c r="D27" t="s">
        <v>676</v>
      </c>
    </row>
    <row r="28" spans="1:4" x14ac:dyDescent="0.35">
      <c r="A28" t="s">
        <v>28</v>
      </c>
      <c r="B28" t="s">
        <v>1</v>
      </c>
    </row>
    <row r="29" spans="1:4" x14ac:dyDescent="0.35">
      <c r="A29" t="s">
        <v>29</v>
      </c>
      <c r="B29" t="s">
        <v>1</v>
      </c>
    </row>
    <row r="30" spans="1:4" x14ac:dyDescent="0.35">
      <c r="A30" t="s">
        <v>30</v>
      </c>
      <c r="B30" t="s">
        <v>1</v>
      </c>
    </row>
    <row r="31" spans="1:4" x14ac:dyDescent="0.35">
      <c r="A31" t="s">
        <v>31</v>
      </c>
      <c r="B31" t="s">
        <v>1</v>
      </c>
    </row>
    <row r="32" spans="1:4" x14ac:dyDescent="0.35">
      <c r="A32" t="s">
        <v>32</v>
      </c>
      <c r="B32" t="s">
        <v>1</v>
      </c>
    </row>
    <row r="33" spans="1:4" x14ac:dyDescent="0.35">
      <c r="A33" t="s">
        <v>33</v>
      </c>
      <c r="B33" t="s">
        <v>1</v>
      </c>
    </row>
    <row r="34" spans="1:4" x14ac:dyDescent="0.35">
      <c r="A34" t="s">
        <v>34</v>
      </c>
      <c r="B34" t="s">
        <v>1</v>
      </c>
    </row>
    <row r="35" spans="1:4" x14ac:dyDescent="0.35">
      <c r="A35" t="s">
        <v>35</v>
      </c>
      <c r="B35" t="s">
        <v>1</v>
      </c>
    </row>
    <row r="36" spans="1:4" x14ac:dyDescent="0.35">
      <c r="A36" t="s">
        <v>384</v>
      </c>
      <c r="B36" t="s">
        <v>1</v>
      </c>
      <c r="C36" s="5" t="s">
        <v>716</v>
      </c>
    </row>
    <row r="37" spans="1:4" x14ac:dyDescent="0.35">
      <c r="A37" t="s">
        <v>36</v>
      </c>
      <c r="B37" t="s">
        <v>3</v>
      </c>
      <c r="C37" s="5" t="s">
        <v>712</v>
      </c>
      <c r="D37" t="s">
        <v>676</v>
      </c>
    </row>
    <row r="38" spans="1:4" x14ac:dyDescent="0.35">
      <c r="A38" t="s">
        <v>37</v>
      </c>
      <c r="B38" t="s">
        <v>1</v>
      </c>
    </row>
    <row r="39" spans="1:4" x14ac:dyDescent="0.35">
      <c r="A39" t="s">
        <v>38</v>
      </c>
      <c r="B39" t="s">
        <v>1</v>
      </c>
    </row>
    <row r="40" spans="1:4" x14ac:dyDescent="0.35">
      <c r="A40" t="s">
        <v>39</v>
      </c>
      <c r="B40" t="s">
        <v>1</v>
      </c>
    </row>
    <row r="41" spans="1:4" x14ac:dyDescent="0.35">
      <c r="A41" t="s">
        <v>381</v>
      </c>
      <c r="B41" t="s">
        <v>1</v>
      </c>
    </row>
    <row r="42" spans="1:4" x14ac:dyDescent="0.35">
      <c r="A42" t="s">
        <v>92</v>
      </c>
      <c r="B42" t="s">
        <v>3</v>
      </c>
      <c r="C42" s="5" t="s">
        <v>714</v>
      </c>
      <c r="D42" t="s">
        <v>676</v>
      </c>
    </row>
    <row r="43" spans="1:4" x14ac:dyDescent="0.35">
      <c r="A43" t="s">
        <v>93</v>
      </c>
      <c r="B43" t="s">
        <v>3</v>
      </c>
      <c r="C43" s="5" t="s">
        <v>714</v>
      </c>
      <c r="D43" t="s">
        <v>676</v>
      </c>
    </row>
    <row r="44" spans="1:4" x14ac:dyDescent="0.35">
      <c r="A44" t="s">
        <v>94</v>
      </c>
      <c r="B44" t="s">
        <v>3</v>
      </c>
      <c r="C44" s="5" t="s">
        <v>714</v>
      </c>
      <c r="D44" t="s">
        <v>676</v>
      </c>
    </row>
    <row r="45" spans="1:4" x14ac:dyDescent="0.35">
      <c r="A45" t="s">
        <v>95</v>
      </c>
      <c r="B45" t="s">
        <v>3</v>
      </c>
      <c r="C45" s="5" t="s">
        <v>714</v>
      </c>
      <c r="D45" t="s">
        <v>676</v>
      </c>
    </row>
    <row r="46" spans="1:4" x14ac:dyDescent="0.35">
      <c r="A46" t="s">
        <v>96</v>
      </c>
      <c r="B46" t="s">
        <v>3</v>
      </c>
      <c r="C46" s="5" t="s">
        <v>714</v>
      </c>
      <c r="D46" t="s">
        <v>676</v>
      </c>
    </row>
  </sheetData>
  <conditionalFormatting sqref="A2:A46">
    <cfRule type="expression" dxfId="204" priority="11">
      <formula>B2="Fail"</formula>
    </cfRule>
    <cfRule type="expression" dxfId="203" priority="12">
      <formula>B2="Pending"</formula>
    </cfRule>
  </conditionalFormatting>
  <conditionalFormatting sqref="A2:A46">
    <cfRule type="expression" dxfId="202" priority="10">
      <formula>B2="Pass"</formula>
    </cfRule>
  </conditionalFormatting>
  <dataValidations count="1">
    <dataValidation type="list" allowBlank="1" showInputMessage="1" showErrorMessage="1" sqref="B2:B46" xr:uid="{00000000-0002-0000-0800-000000000000}">
      <formula1>#REF!</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3" operator="containsText" id="{E1783B5B-0C8B-4A52-B077-10651DAD36E4}">
            <xm:f>NOT(ISERROR(SEARCH(#REF!,B2)))</xm:f>
            <xm:f>#REF!</xm:f>
            <x14:dxf>
              <font>
                <b val="0"/>
                <i val="0"/>
                <color theme="9" tint="-0.499984740745262"/>
              </font>
              <fill>
                <patternFill>
                  <bgColor theme="9" tint="0.59996337778862885"/>
                </patternFill>
              </fill>
            </x14:dxf>
          </x14:cfRule>
          <x14:cfRule type="containsText" priority="14" operator="containsText" id="{14AEE263-A8B8-4166-BA1D-F2B17EE437A2}">
            <xm:f>NOT(ISERROR(SEARCH(#REF!,B2)))</xm:f>
            <xm:f>#REF!</xm:f>
            <x14:dxf>
              <font>
                <b val="0"/>
                <i val="0"/>
                <color rgb="FFC00000"/>
              </font>
              <fill>
                <patternFill>
                  <bgColor rgb="FFFFCCCC"/>
                </patternFill>
              </fill>
            </x14:dxf>
          </x14:cfRule>
          <x14:cfRule type="containsText" priority="15" operator="containsText" id="{55B4C7F3-7C7B-4C18-B403-91DB63D21077}">
            <xm:f>NOT(ISERROR(SEARCH(#REF!,B2)))</xm:f>
            <xm:f>#REF!</xm:f>
            <x14:dxf>
              <font>
                <b val="0"/>
                <i val="0"/>
                <color theme="7" tint="-0.499984740745262"/>
              </font>
              <fill>
                <patternFill>
                  <bgColor theme="7" tint="0.59996337778862885"/>
                </patternFill>
              </fill>
            </x14:dxf>
          </x14:cfRule>
          <xm:sqref>B2:B6 B35:B43</xm:sqref>
        </x14:conditionalFormatting>
        <x14:conditionalFormatting xmlns:xm="http://schemas.microsoft.com/office/excel/2006/main">
          <x14:cfRule type="containsText" priority="7" operator="containsText" id="{53DDBBE6-0048-4164-9913-91CC34A771D0}">
            <xm:f>NOT(ISERROR(SEARCH(#REF!,B7)))</xm:f>
            <xm:f>#REF!</xm:f>
            <x14:dxf>
              <font>
                <b val="0"/>
                <i val="0"/>
                <color theme="9" tint="-0.499984740745262"/>
              </font>
              <fill>
                <patternFill>
                  <bgColor theme="9" tint="0.59996337778862885"/>
                </patternFill>
              </fill>
            </x14:dxf>
          </x14:cfRule>
          <x14:cfRule type="containsText" priority="8" operator="containsText" id="{E95BA26A-5396-465E-A43A-173500FF534B}">
            <xm:f>NOT(ISERROR(SEARCH(#REF!,B7)))</xm:f>
            <xm:f>#REF!</xm:f>
            <x14:dxf>
              <font>
                <b val="0"/>
                <i val="0"/>
                <color rgb="FFC00000"/>
              </font>
              <fill>
                <patternFill>
                  <bgColor rgb="FFFFCCCC"/>
                </patternFill>
              </fill>
            </x14:dxf>
          </x14:cfRule>
          <x14:cfRule type="containsText" priority="9" operator="containsText" id="{C72B6154-96A3-480F-BE42-17B5B923CC88}">
            <xm:f>NOT(ISERROR(SEARCH(#REF!,B7)))</xm:f>
            <xm:f>#REF!</xm:f>
            <x14:dxf>
              <font>
                <b val="0"/>
                <i val="0"/>
                <color theme="7" tint="-0.499984740745262"/>
              </font>
              <fill>
                <patternFill>
                  <bgColor theme="7" tint="0.59996337778862885"/>
                </patternFill>
              </fill>
            </x14:dxf>
          </x14:cfRule>
          <xm:sqref>B7:B23</xm:sqref>
        </x14:conditionalFormatting>
        <x14:conditionalFormatting xmlns:xm="http://schemas.microsoft.com/office/excel/2006/main">
          <x14:cfRule type="containsText" priority="4" operator="containsText" id="{4F95A80F-0B81-4324-A9FB-07FB8F97C243}">
            <xm:f>NOT(ISERROR(SEARCH(#REF!,B24)))</xm:f>
            <xm:f>#REF!</xm:f>
            <x14:dxf>
              <font>
                <b val="0"/>
                <i val="0"/>
                <color theme="9" tint="-0.499984740745262"/>
              </font>
              <fill>
                <patternFill>
                  <bgColor theme="9" tint="0.59996337778862885"/>
                </patternFill>
              </fill>
            </x14:dxf>
          </x14:cfRule>
          <x14:cfRule type="containsText" priority="5" operator="containsText" id="{5076110E-2FD7-4CC5-A52A-E25E35AFB17F}">
            <xm:f>NOT(ISERROR(SEARCH(#REF!,B24)))</xm:f>
            <xm:f>#REF!</xm:f>
            <x14:dxf>
              <font>
                <b val="0"/>
                <i val="0"/>
                <color rgb="FFC00000"/>
              </font>
              <fill>
                <patternFill>
                  <bgColor rgb="FFFFCCCC"/>
                </patternFill>
              </fill>
            </x14:dxf>
          </x14:cfRule>
          <x14:cfRule type="containsText" priority="6" operator="containsText" id="{E6C310CC-6BE1-4A99-90FF-BE13E5CB99CC}">
            <xm:f>NOT(ISERROR(SEARCH(#REF!,B24)))</xm:f>
            <xm:f>#REF!</xm:f>
            <x14:dxf>
              <font>
                <b val="0"/>
                <i val="0"/>
                <color theme="7" tint="-0.499984740745262"/>
              </font>
              <fill>
                <patternFill>
                  <bgColor theme="7" tint="0.59996337778862885"/>
                </patternFill>
              </fill>
            </x14:dxf>
          </x14:cfRule>
          <xm:sqref>B24:B34</xm:sqref>
        </x14:conditionalFormatting>
        <x14:conditionalFormatting xmlns:xm="http://schemas.microsoft.com/office/excel/2006/main">
          <x14:cfRule type="containsText" priority="1" operator="containsText" id="{92E8706E-86B9-4565-AA93-C8E77A266957}">
            <xm:f>NOT(ISERROR(SEARCH(#REF!,B44)))</xm:f>
            <xm:f>#REF!</xm:f>
            <x14:dxf>
              <font>
                <b val="0"/>
                <i val="0"/>
                <color theme="9" tint="-0.499984740745262"/>
              </font>
              <fill>
                <patternFill>
                  <bgColor theme="9" tint="0.59996337778862885"/>
                </patternFill>
              </fill>
            </x14:dxf>
          </x14:cfRule>
          <x14:cfRule type="containsText" priority="2" operator="containsText" id="{A7B4D9B7-16D1-42D9-B0BB-3085767E2B64}">
            <xm:f>NOT(ISERROR(SEARCH(#REF!,B44)))</xm:f>
            <xm:f>#REF!</xm:f>
            <x14:dxf>
              <font>
                <b val="0"/>
                <i val="0"/>
                <color rgb="FFC00000"/>
              </font>
              <fill>
                <patternFill>
                  <bgColor rgb="FFFFCCCC"/>
                </patternFill>
              </fill>
            </x14:dxf>
          </x14:cfRule>
          <x14:cfRule type="containsText" priority="3" operator="containsText" id="{7EF435B9-A941-4AA2-B598-126680D018AE}">
            <xm:f>NOT(ISERROR(SEARCH(#REF!,B44)))</xm:f>
            <xm:f>#REF!</xm:f>
            <x14:dxf>
              <font>
                <b val="0"/>
                <i val="0"/>
                <color theme="7" tint="-0.499984740745262"/>
              </font>
              <fill>
                <patternFill>
                  <bgColor theme="7" tint="0.59996337778862885"/>
                </patternFill>
              </fill>
            </x14:dxf>
          </x14:cfRule>
          <xm:sqref>B44:B46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Overview!$C$9:$C$12</xm:f>
          </x14:formula1>
          <xm:sqref>D2:D46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28"/>
  <sheetViews>
    <sheetView topLeftCell="A13" workbookViewId="0">
      <selection activeCell="C26" sqref="C26"/>
    </sheetView>
  </sheetViews>
  <sheetFormatPr defaultRowHeight="14.5" x14ac:dyDescent="0.35"/>
  <cols>
    <col min="1" max="1" width="10.7265625" customWidth="1"/>
    <col min="3" max="3" width="87.1796875" style="5" customWidth="1"/>
    <col min="4" max="4" width="12.81640625" customWidth="1"/>
    <col min="5" max="5" width="52.26953125" customWidth="1"/>
  </cols>
  <sheetData>
    <row r="1" spans="1:5" x14ac:dyDescent="0.35">
      <c r="A1" s="1" t="s">
        <v>1</v>
      </c>
      <c r="B1">
        <f>COUNTIF(Table32[Result],"Pass")</f>
        <v>0</v>
      </c>
    </row>
    <row r="2" spans="1:5" x14ac:dyDescent="0.35">
      <c r="A2" s="2" t="s">
        <v>2</v>
      </c>
      <c r="B2">
        <f>COUNTIF(Table32[Result],"Fail")</f>
        <v>0</v>
      </c>
    </row>
    <row r="3" spans="1:5" x14ac:dyDescent="0.35">
      <c r="A3" s="3" t="s">
        <v>3</v>
      </c>
      <c r="B3">
        <f>COUNTIF(Table32[Result],"Pending")</f>
        <v>23</v>
      </c>
    </row>
    <row r="4" spans="1:5" x14ac:dyDescent="0.35">
      <c r="A4" t="s">
        <v>4</v>
      </c>
      <c r="B4">
        <f>COUNTA(Table32[Result])</f>
        <v>23</v>
      </c>
    </row>
    <row r="5" spans="1:5" x14ac:dyDescent="0.35">
      <c r="A5" s="4" t="s">
        <v>0</v>
      </c>
      <c r="B5" s="4" t="s">
        <v>5</v>
      </c>
      <c r="C5" s="4" t="s">
        <v>90</v>
      </c>
      <c r="D5" s="4" t="s">
        <v>285</v>
      </c>
      <c r="E5" s="230" t="s">
        <v>636</v>
      </c>
    </row>
    <row r="6" spans="1:5" x14ac:dyDescent="0.35">
      <c r="A6" t="s">
        <v>184</v>
      </c>
      <c r="B6" t="s">
        <v>3</v>
      </c>
    </row>
    <row r="7" spans="1:5" x14ac:dyDescent="0.35">
      <c r="A7" t="s">
        <v>185</v>
      </c>
      <c r="B7" t="s">
        <v>3</v>
      </c>
    </row>
    <row r="8" spans="1:5" x14ac:dyDescent="0.35">
      <c r="A8" t="s">
        <v>186</v>
      </c>
      <c r="B8" t="s">
        <v>3</v>
      </c>
    </row>
    <row r="9" spans="1:5" x14ac:dyDescent="0.35">
      <c r="A9" t="s">
        <v>187</v>
      </c>
      <c r="B9" t="s">
        <v>3</v>
      </c>
    </row>
    <row r="10" spans="1:5" x14ac:dyDescent="0.35">
      <c r="A10" t="s">
        <v>188</v>
      </c>
      <c r="B10" t="s">
        <v>3</v>
      </c>
    </row>
    <row r="11" spans="1:5" x14ac:dyDescent="0.35">
      <c r="A11" t="s">
        <v>189</v>
      </c>
      <c r="B11" t="s">
        <v>3</v>
      </c>
    </row>
    <row r="12" spans="1:5" x14ac:dyDescent="0.35">
      <c r="A12" t="s">
        <v>190</v>
      </c>
      <c r="B12" t="s">
        <v>3</v>
      </c>
    </row>
    <row r="13" spans="1:5" x14ac:dyDescent="0.35">
      <c r="A13" t="s">
        <v>191</v>
      </c>
      <c r="B13" t="s">
        <v>3</v>
      </c>
    </row>
    <row r="14" spans="1:5" x14ac:dyDescent="0.35">
      <c r="A14" t="s">
        <v>192</v>
      </c>
      <c r="B14" t="s">
        <v>3</v>
      </c>
    </row>
    <row r="15" spans="1:5" x14ac:dyDescent="0.35">
      <c r="A15" t="s">
        <v>193</v>
      </c>
      <c r="B15" t="s">
        <v>3</v>
      </c>
    </row>
    <row r="16" spans="1:5" x14ac:dyDescent="0.35">
      <c r="A16" t="s">
        <v>194</v>
      </c>
      <c r="B16" t="s">
        <v>3</v>
      </c>
    </row>
    <row r="17" spans="1:2" x14ac:dyDescent="0.35">
      <c r="A17" t="s">
        <v>195</v>
      </c>
      <c r="B17" t="s">
        <v>3</v>
      </c>
    </row>
    <row r="18" spans="1:2" x14ac:dyDescent="0.35">
      <c r="A18" t="s">
        <v>196</v>
      </c>
      <c r="B18" t="s">
        <v>3</v>
      </c>
    </row>
    <row r="19" spans="1:2" x14ac:dyDescent="0.35">
      <c r="A19" t="s">
        <v>197</v>
      </c>
      <c r="B19" t="s">
        <v>3</v>
      </c>
    </row>
    <row r="20" spans="1:2" x14ac:dyDescent="0.35">
      <c r="A20" t="s">
        <v>198</v>
      </c>
      <c r="B20" t="s">
        <v>3</v>
      </c>
    </row>
    <row r="21" spans="1:2" x14ac:dyDescent="0.35">
      <c r="A21" t="s">
        <v>199</v>
      </c>
      <c r="B21" t="s">
        <v>3</v>
      </c>
    </row>
    <row r="22" spans="1:2" x14ac:dyDescent="0.35">
      <c r="A22" t="s">
        <v>200</v>
      </c>
      <c r="B22" t="s">
        <v>3</v>
      </c>
    </row>
    <row r="23" spans="1:2" x14ac:dyDescent="0.35">
      <c r="A23" t="s">
        <v>654</v>
      </c>
      <c r="B23" t="s">
        <v>3</v>
      </c>
    </row>
    <row r="24" spans="1:2" x14ac:dyDescent="0.35">
      <c r="A24" t="s">
        <v>201</v>
      </c>
      <c r="B24" t="s">
        <v>3</v>
      </c>
    </row>
    <row r="25" spans="1:2" x14ac:dyDescent="0.35">
      <c r="A25" t="s">
        <v>202</v>
      </c>
      <c r="B25" t="s">
        <v>3</v>
      </c>
    </row>
    <row r="26" spans="1:2" x14ac:dyDescent="0.35">
      <c r="A26" t="s">
        <v>203</v>
      </c>
      <c r="B26" t="s">
        <v>3</v>
      </c>
    </row>
    <row r="27" spans="1:2" x14ac:dyDescent="0.35">
      <c r="A27" t="s">
        <v>204</v>
      </c>
      <c r="B27" t="s">
        <v>3</v>
      </c>
    </row>
    <row r="28" spans="1:2" x14ac:dyDescent="0.35">
      <c r="A28" t="s">
        <v>655</v>
      </c>
      <c r="B28" t="s">
        <v>3</v>
      </c>
    </row>
  </sheetData>
  <conditionalFormatting sqref="A6:A28">
    <cfRule type="expression" dxfId="187" priority="2">
      <formula>B6="Fail"</formula>
    </cfRule>
    <cfRule type="expression" dxfId="186" priority="3">
      <formula>B6="Pending"</formula>
    </cfRule>
  </conditionalFormatting>
  <conditionalFormatting sqref="A6:A28">
    <cfRule type="expression" dxfId="185" priority="1">
      <formula>B6="Pass"</formula>
    </cfRule>
  </conditionalFormatting>
  <dataValidations count="1">
    <dataValidation type="list" allowBlank="1" showInputMessage="1" showErrorMessage="1" sqref="B6:B28" xr:uid="{00000000-0002-0000-0900-000000000000}">
      <formula1>$A$1:$A$3</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0EFD6480-3F9F-4BB6-916E-E2BFA7B8099A}">
            <xm:f>NOT(ISERROR(SEARCH($A$1,B6)))</xm:f>
            <xm:f>$A$1</xm:f>
            <x14:dxf>
              <font>
                <b val="0"/>
                <i val="0"/>
                <color theme="9" tint="-0.499984740745262"/>
              </font>
              <fill>
                <patternFill>
                  <bgColor theme="9" tint="0.59996337778862885"/>
                </patternFill>
              </fill>
            </x14:dxf>
          </x14:cfRule>
          <x14:cfRule type="containsText" priority="5" operator="containsText" id="{DFBE8435-C8DF-4E73-9F93-56B86FB326EE}">
            <xm:f>NOT(ISERROR(SEARCH($A$2,B6)))</xm:f>
            <xm:f>$A$2</xm:f>
            <x14:dxf>
              <font>
                <b val="0"/>
                <i val="0"/>
                <color rgb="FFC00000"/>
              </font>
              <fill>
                <patternFill>
                  <bgColor rgb="FFFFCCCC"/>
                </patternFill>
              </fill>
            </x14:dxf>
          </x14:cfRule>
          <x14:cfRule type="containsText" priority="6" operator="containsText" id="{75EBFF7E-C10D-4991-A275-648F411E6E63}">
            <xm:f>NOT(ISERROR(SEARCH($A$3,B6)))</xm:f>
            <xm:f>$A$3</xm:f>
            <x14:dxf>
              <font>
                <b val="0"/>
                <i val="0"/>
                <color theme="7" tint="-0.499984740745262"/>
              </font>
              <fill>
                <patternFill>
                  <bgColor theme="7" tint="0.59996337778862885"/>
                </patternFill>
              </fill>
            </x14:dxf>
          </x14:cfRule>
          <xm:sqref>B6:B28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Overview!$C$9:$C$12</xm:f>
          </x14:formula1>
          <xm:sqref>D6:D28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D21"/>
  <sheetViews>
    <sheetView workbookViewId="0">
      <selection activeCell="D10" sqref="D10"/>
    </sheetView>
  </sheetViews>
  <sheetFormatPr defaultRowHeight="14.5" x14ac:dyDescent="0.35"/>
  <cols>
    <col min="1" max="1" width="10.7265625" customWidth="1"/>
    <col min="3" max="3" width="58.453125" style="5" customWidth="1"/>
    <col min="4" max="4" width="12.81640625" customWidth="1"/>
  </cols>
  <sheetData>
    <row r="1" spans="1:4" x14ac:dyDescent="0.35">
      <c r="A1" s="1" t="s">
        <v>1</v>
      </c>
      <c r="B1">
        <f>COUNTIF(Table3219[Result],"Pass")</f>
        <v>0</v>
      </c>
    </row>
    <row r="2" spans="1:4" x14ac:dyDescent="0.35">
      <c r="A2" s="2" t="s">
        <v>2</v>
      </c>
      <c r="B2">
        <f>COUNTIF(Table3219[Result],"Fail")</f>
        <v>0</v>
      </c>
    </row>
    <row r="3" spans="1:4" x14ac:dyDescent="0.35">
      <c r="A3" s="3" t="s">
        <v>3</v>
      </c>
      <c r="B3">
        <f>COUNTIF(Table3219[Result],"Pending")</f>
        <v>16</v>
      </c>
    </row>
    <row r="4" spans="1:4" x14ac:dyDescent="0.35">
      <c r="A4" t="s">
        <v>4</v>
      </c>
      <c r="B4">
        <f>COUNTA(Table3219[Result])</f>
        <v>16</v>
      </c>
    </row>
    <row r="5" spans="1:4" x14ac:dyDescent="0.35">
      <c r="A5" s="4" t="s">
        <v>0</v>
      </c>
      <c r="B5" s="4" t="s">
        <v>5</v>
      </c>
      <c r="C5" s="6" t="s">
        <v>183</v>
      </c>
      <c r="D5" s="4" t="s">
        <v>285</v>
      </c>
    </row>
    <row r="6" spans="1:4" x14ac:dyDescent="0.35">
      <c r="B6" t="s">
        <v>3</v>
      </c>
    </row>
    <row r="7" spans="1:4" x14ac:dyDescent="0.35">
      <c r="B7" t="s">
        <v>3</v>
      </c>
    </row>
    <row r="8" spans="1:4" x14ac:dyDescent="0.35">
      <c r="B8" t="s">
        <v>3</v>
      </c>
    </row>
    <row r="9" spans="1:4" x14ac:dyDescent="0.35">
      <c r="B9" t="s">
        <v>3</v>
      </c>
    </row>
    <row r="10" spans="1:4" x14ac:dyDescent="0.35">
      <c r="B10" t="s">
        <v>3</v>
      </c>
    </row>
    <row r="11" spans="1:4" x14ac:dyDescent="0.35">
      <c r="B11" t="s">
        <v>3</v>
      </c>
    </row>
    <row r="12" spans="1:4" x14ac:dyDescent="0.35">
      <c r="B12" t="s">
        <v>3</v>
      </c>
    </row>
    <row r="13" spans="1:4" x14ac:dyDescent="0.35">
      <c r="B13" t="s">
        <v>3</v>
      </c>
    </row>
    <row r="14" spans="1:4" x14ac:dyDescent="0.35">
      <c r="B14" t="s">
        <v>3</v>
      </c>
    </row>
    <row r="15" spans="1:4" x14ac:dyDescent="0.35">
      <c r="B15" t="s">
        <v>3</v>
      </c>
    </row>
    <row r="16" spans="1:4" x14ac:dyDescent="0.35">
      <c r="B16" t="s">
        <v>3</v>
      </c>
    </row>
    <row r="17" spans="2:2" x14ac:dyDescent="0.35">
      <c r="B17" t="s">
        <v>3</v>
      </c>
    </row>
    <row r="18" spans="2:2" x14ac:dyDescent="0.35">
      <c r="B18" t="s">
        <v>3</v>
      </c>
    </row>
    <row r="19" spans="2:2" x14ac:dyDescent="0.35">
      <c r="B19" t="s">
        <v>3</v>
      </c>
    </row>
    <row r="20" spans="2:2" x14ac:dyDescent="0.35">
      <c r="B20" t="s">
        <v>3</v>
      </c>
    </row>
    <row r="21" spans="2:2" x14ac:dyDescent="0.35">
      <c r="B21" t="s">
        <v>3</v>
      </c>
    </row>
  </sheetData>
  <conditionalFormatting sqref="A6:A21">
    <cfRule type="expression" dxfId="179" priority="2">
      <formula>B6="Fail"</formula>
    </cfRule>
    <cfRule type="expression" dxfId="178" priority="3">
      <formula>B6="Pending"</formula>
    </cfRule>
  </conditionalFormatting>
  <conditionalFormatting sqref="A6:A21">
    <cfRule type="expression" dxfId="177" priority="1">
      <formula>B6="Pass"</formula>
    </cfRule>
  </conditionalFormatting>
  <dataValidations count="1">
    <dataValidation type="list" allowBlank="1" showInputMessage="1" showErrorMessage="1" sqref="B6:B21" xr:uid="{00000000-0002-0000-0A00-000000000000}">
      <formula1>$A$1:$A$3</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9633EDFA-42E9-4700-B19C-AD26DF7E664A}">
            <xm:f>NOT(ISERROR(SEARCH($A$1,B6)))</xm:f>
            <xm:f>$A$1</xm:f>
            <x14:dxf>
              <font>
                <b val="0"/>
                <i val="0"/>
                <color theme="9" tint="-0.499984740745262"/>
              </font>
              <fill>
                <patternFill>
                  <bgColor theme="9" tint="0.59996337778862885"/>
                </patternFill>
              </fill>
            </x14:dxf>
          </x14:cfRule>
          <x14:cfRule type="containsText" priority="5" operator="containsText" id="{C63404E3-5BEE-495F-B9A3-8EC7E26DC37F}">
            <xm:f>NOT(ISERROR(SEARCH($A$2,B6)))</xm:f>
            <xm:f>$A$2</xm:f>
            <x14:dxf>
              <font>
                <b val="0"/>
                <i val="0"/>
                <color rgb="FFC00000"/>
              </font>
              <fill>
                <patternFill>
                  <bgColor rgb="FFFFCCCC"/>
                </patternFill>
              </fill>
            </x14:dxf>
          </x14:cfRule>
          <x14:cfRule type="containsText" priority="6" operator="containsText" id="{EFB60834-D17D-4ADB-9032-60841A2A81F6}">
            <xm:f>NOT(ISERROR(SEARCH($A$3,B6)))</xm:f>
            <xm:f>$A$3</xm:f>
            <x14:dxf>
              <font>
                <b val="0"/>
                <i val="0"/>
                <color theme="7" tint="-0.499984740745262"/>
              </font>
              <fill>
                <patternFill>
                  <bgColor theme="7" tint="0.59996337778862885"/>
                </patternFill>
              </fill>
            </x14:dxf>
          </x14:cfRule>
          <xm:sqref>B6:B21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Overview!$C$9:$C$12</xm:f>
          </x14:formula1>
          <xm:sqref>D6:D21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E26"/>
  <sheetViews>
    <sheetView workbookViewId="0">
      <selection sqref="A1:C4"/>
    </sheetView>
  </sheetViews>
  <sheetFormatPr defaultRowHeight="14.5" x14ac:dyDescent="0.35"/>
  <cols>
    <col min="1" max="1" width="34.1796875" customWidth="1"/>
    <col min="3" max="3" width="85.26953125" customWidth="1"/>
    <col min="4" max="4" width="12.81640625" bestFit="1" customWidth="1"/>
    <col min="5" max="5" width="39.453125" customWidth="1"/>
  </cols>
  <sheetData>
    <row r="1" spans="1:5" x14ac:dyDescent="0.35">
      <c r="A1" s="4" t="s">
        <v>0</v>
      </c>
      <c r="B1" s="4" t="s">
        <v>5</v>
      </c>
      <c r="C1" s="4" t="s">
        <v>90</v>
      </c>
      <c r="D1" s="4" t="s">
        <v>285</v>
      </c>
      <c r="E1" s="230" t="s">
        <v>636</v>
      </c>
    </row>
    <row r="2" spans="1:5" x14ac:dyDescent="0.35">
      <c r="A2" t="s">
        <v>40</v>
      </c>
      <c r="B2" t="s">
        <v>3</v>
      </c>
      <c r="C2" s="5" t="s">
        <v>717</v>
      </c>
      <c r="D2" t="s">
        <v>676</v>
      </c>
    </row>
    <row r="3" spans="1:5" x14ac:dyDescent="0.35">
      <c r="A3" t="s">
        <v>41</v>
      </c>
      <c r="B3" t="s">
        <v>3</v>
      </c>
      <c r="C3" s="5" t="s">
        <v>717</v>
      </c>
      <c r="D3" t="s">
        <v>676</v>
      </c>
    </row>
    <row r="4" spans="1:5" x14ac:dyDescent="0.35">
      <c r="A4" t="s">
        <v>644</v>
      </c>
      <c r="B4" t="s">
        <v>1</v>
      </c>
    </row>
    <row r="5" spans="1:5" x14ac:dyDescent="0.35">
      <c r="A5" t="s">
        <v>42</v>
      </c>
      <c r="B5" t="s">
        <v>3</v>
      </c>
      <c r="C5" s="5" t="s">
        <v>717</v>
      </c>
      <c r="D5" t="s">
        <v>676</v>
      </c>
    </row>
    <row r="6" spans="1:5" x14ac:dyDescent="0.35">
      <c r="A6" t="s">
        <v>645</v>
      </c>
      <c r="B6" t="s">
        <v>1</v>
      </c>
    </row>
    <row r="7" spans="1:5" x14ac:dyDescent="0.35">
      <c r="A7" t="s">
        <v>646</v>
      </c>
      <c r="B7" t="s">
        <v>1</v>
      </c>
      <c r="C7" t="s">
        <v>718</v>
      </c>
      <c r="D7" t="s">
        <v>676</v>
      </c>
    </row>
    <row r="8" spans="1:5" x14ac:dyDescent="0.35">
      <c r="A8" t="s">
        <v>647</v>
      </c>
      <c r="B8" t="s">
        <v>1</v>
      </c>
    </row>
    <row r="9" spans="1:5" x14ac:dyDescent="0.35">
      <c r="A9" t="s">
        <v>648</v>
      </c>
      <c r="B9" t="s">
        <v>1</v>
      </c>
    </row>
    <row r="10" spans="1:5" x14ac:dyDescent="0.35">
      <c r="A10" t="s">
        <v>688</v>
      </c>
      <c r="B10" t="s">
        <v>2</v>
      </c>
      <c r="C10" t="s">
        <v>719</v>
      </c>
      <c r="D10" t="s">
        <v>676</v>
      </c>
    </row>
    <row r="11" spans="1:5" x14ac:dyDescent="0.35">
      <c r="A11" t="s">
        <v>43</v>
      </c>
      <c r="B11" t="s">
        <v>2</v>
      </c>
      <c r="C11" t="s">
        <v>723</v>
      </c>
      <c r="D11" t="s">
        <v>676</v>
      </c>
    </row>
    <row r="12" spans="1:5" x14ac:dyDescent="0.35">
      <c r="A12" t="s">
        <v>44</v>
      </c>
      <c r="B12" t="s">
        <v>2</v>
      </c>
      <c r="C12" t="s">
        <v>720</v>
      </c>
      <c r="D12" t="s">
        <v>676</v>
      </c>
    </row>
    <row r="13" spans="1:5" x14ac:dyDescent="0.35">
      <c r="A13" t="s">
        <v>45</v>
      </c>
      <c r="B13" t="s">
        <v>1</v>
      </c>
    </row>
    <row r="14" spans="1:5" x14ac:dyDescent="0.35">
      <c r="A14" t="s">
        <v>46</v>
      </c>
      <c r="B14" t="s">
        <v>1</v>
      </c>
    </row>
    <row r="15" spans="1:5" x14ac:dyDescent="0.35">
      <c r="A15" t="s">
        <v>649</v>
      </c>
      <c r="B15" t="s">
        <v>1</v>
      </c>
    </row>
    <row r="16" spans="1:5" x14ac:dyDescent="0.35">
      <c r="A16" t="s">
        <v>710</v>
      </c>
      <c r="B16" t="s">
        <v>1</v>
      </c>
    </row>
    <row r="17" spans="1:4" x14ac:dyDescent="0.35">
      <c r="A17" t="s">
        <v>650</v>
      </c>
      <c r="B17" t="s">
        <v>1</v>
      </c>
      <c r="C17" t="s">
        <v>721</v>
      </c>
    </row>
    <row r="18" spans="1:4" x14ac:dyDescent="0.35">
      <c r="A18" t="s">
        <v>47</v>
      </c>
      <c r="B18" t="s">
        <v>2</v>
      </c>
      <c r="C18" t="s">
        <v>722</v>
      </c>
      <c r="D18" t="s">
        <v>676</v>
      </c>
    </row>
    <row r="19" spans="1:4" x14ac:dyDescent="0.35">
      <c r="A19" t="s">
        <v>48</v>
      </c>
      <c r="B19" t="s">
        <v>1</v>
      </c>
    </row>
    <row r="20" spans="1:4" x14ac:dyDescent="0.35">
      <c r="A20" t="s">
        <v>651</v>
      </c>
      <c r="B20" t="s">
        <v>1</v>
      </c>
    </row>
    <row r="21" spans="1:4" x14ac:dyDescent="0.35">
      <c r="A21" t="s">
        <v>711</v>
      </c>
      <c r="B21" t="s">
        <v>1</v>
      </c>
    </row>
    <row r="22" spans="1:4" x14ac:dyDescent="0.35">
      <c r="A22" t="s">
        <v>49</v>
      </c>
      <c r="B22" t="s">
        <v>1</v>
      </c>
    </row>
    <row r="23" spans="1:4" x14ac:dyDescent="0.35">
      <c r="A23" t="s">
        <v>50</v>
      </c>
      <c r="B23" t="s">
        <v>2</v>
      </c>
      <c r="C23" t="s">
        <v>724</v>
      </c>
      <c r="D23" t="s">
        <v>676</v>
      </c>
    </row>
    <row r="24" spans="1:4" x14ac:dyDescent="0.35">
      <c r="A24" t="s">
        <v>51</v>
      </c>
      <c r="B24" t="s">
        <v>1</v>
      </c>
    </row>
    <row r="25" spans="1:4" x14ac:dyDescent="0.35">
      <c r="A25" t="s">
        <v>652</v>
      </c>
      <c r="B25" t="s">
        <v>1</v>
      </c>
    </row>
    <row r="26" spans="1:4" x14ac:dyDescent="0.35">
      <c r="A26" t="s">
        <v>653</v>
      </c>
      <c r="B26" t="s">
        <v>1</v>
      </c>
    </row>
  </sheetData>
  <conditionalFormatting sqref="A2:A26">
    <cfRule type="expression" dxfId="171" priority="2">
      <formula>B2="Fail"</formula>
    </cfRule>
    <cfRule type="expression" dxfId="170" priority="3">
      <formula>B2="Pending"</formula>
    </cfRule>
  </conditionalFormatting>
  <conditionalFormatting sqref="A2:A26">
    <cfRule type="expression" dxfId="169" priority="1">
      <formula>B2="Pass"</formula>
    </cfRule>
  </conditionalFormatting>
  <dataValidations count="1">
    <dataValidation type="list" allowBlank="1" showInputMessage="1" showErrorMessage="1" sqref="B2:B26" xr:uid="{00000000-0002-0000-0B00-000000000000}">
      <formula1>#REF!</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9BB926D7-B9F1-4D75-B840-212398D978BD}">
            <xm:f>NOT(ISERROR(SEARCH(#REF!,B2)))</xm:f>
            <xm:f>#REF!</xm:f>
            <x14:dxf>
              <font>
                <b val="0"/>
                <i val="0"/>
                <color theme="9" tint="-0.499984740745262"/>
              </font>
              <fill>
                <patternFill>
                  <bgColor theme="9" tint="0.59996337778862885"/>
                </patternFill>
              </fill>
            </x14:dxf>
          </x14:cfRule>
          <x14:cfRule type="containsText" priority="5" operator="containsText" id="{E5A4577F-0976-4D5E-BAEA-A6571030AAFB}">
            <xm:f>NOT(ISERROR(SEARCH(#REF!,B2)))</xm:f>
            <xm:f>#REF!</xm:f>
            <x14:dxf>
              <font>
                <b val="0"/>
                <i val="0"/>
                <color rgb="FFC00000"/>
              </font>
              <fill>
                <patternFill>
                  <bgColor rgb="FFFFCCCC"/>
                </patternFill>
              </fill>
            </x14:dxf>
          </x14:cfRule>
          <x14:cfRule type="containsText" priority="6" operator="containsText" id="{914AE18D-D252-4B0C-8375-A72262489138}">
            <xm:f>NOT(ISERROR(SEARCH(#REF!,B2)))</xm:f>
            <xm:f>#REF!</xm:f>
            <x14:dxf>
              <font>
                <b val="0"/>
                <i val="0"/>
                <color theme="7" tint="-0.499984740745262"/>
              </font>
              <fill>
                <patternFill>
                  <bgColor theme="7" tint="0.59996337778862885"/>
                </patternFill>
              </fill>
            </x14:dxf>
          </x14:cfRule>
          <xm:sqref>B2:B26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Overview!$C$9:$C$12</xm:f>
          </x14:formula1>
          <xm:sqref>D2:D26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F15"/>
  <sheetViews>
    <sheetView workbookViewId="0">
      <selection sqref="A1:C4"/>
    </sheetView>
  </sheetViews>
  <sheetFormatPr defaultRowHeight="14.5" x14ac:dyDescent="0.35"/>
  <cols>
    <col min="1" max="1" width="16.1796875" customWidth="1"/>
    <col min="3" max="3" width="85.26953125" customWidth="1"/>
    <col min="4" max="4" width="12.81640625" bestFit="1" customWidth="1"/>
    <col min="5" max="5" width="43.453125" customWidth="1"/>
    <col min="6" max="6" width="18.81640625" customWidth="1"/>
  </cols>
  <sheetData>
    <row r="1" spans="1:6" x14ac:dyDescent="0.35">
      <c r="A1" s="4" t="s">
        <v>0</v>
      </c>
      <c r="B1" s="4" t="s">
        <v>5</v>
      </c>
      <c r="C1" s="4" t="s">
        <v>90</v>
      </c>
      <c r="D1" s="4" t="s">
        <v>285</v>
      </c>
      <c r="E1" s="4" t="s">
        <v>636</v>
      </c>
      <c r="F1" s="4" t="s">
        <v>698</v>
      </c>
    </row>
    <row r="2" spans="1:6" x14ac:dyDescent="0.35">
      <c r="A2" t="s">
        <v>56</v>
      </c>
      <c r="B2" t="s">
        <v>1</v>
      </c>
      <c r="C2" t="s">
        <v>639</v>
      </c>
      <c r="F2" s="248" t="s">
        <v>699</v>
      </c>
    </row>
    <row r="3" spans="1:6" x14ac:dyDescent="0.35">
      <c r="A3" t="s">
        <v>619</v>
      </c>
      <c r="B3" t="s">
        <v>1</v>
      </c>
      <c r="C3" t="s">
        <v>701</v>
      </c>
      <c r="F3" s="249" t="s">
        <v>700</v>
      </c>
    </row>
    <row r="4" spans="1:6" ht="145" x14ac:dyDescent="0.35">
      <c r="A4" t="s">
        <v>52</v>
      </c>
      <c r="B4" t="s">
        <v>1</v>
      </c>
      <c r="C4" s="5" t="s">
        <v>680</v>
      </c>
      <c r="E4" s="5"/>
      <c r="F4" t="s">
        <v>702</v>
      </c>
    </row>
    <row r="5" spans="1:6" x14ac:dyDescent="0.35">
      <c r="A5" t="s">
        <v>53</v>
      </c>
      <c r="B5" t="s">
        <v>2</v>
      </c>
      <c r="C5" t="s">
        <v>642</v>
      </c>
      <c r="D5" t="s">
        <v>618</v>
      </c>
      <c r="E5" t="s">
        <v>679</v>
      </c>
    </row>
    <row r="6" spans="1:6" x14ac:dyDescent="0.35">
      <c r="A6" t="s">
        <v>214</v>
      </c>
      <c r="B6" t="s">
        <v>1</v>
      </c>
      <c r="C6" s="5" t="s">
        <v>662</v>
      </c>
      <c r="F6" s="248" t="s">
        <v>703</v>
      </c>
    </row>
    <row r="7" spans="1:6" ht="29" x14ac:dyDescent="0.35">
      <c r="A7" t="s">
        <v>620</v>
      </c>
      <c r="B7" t="s">
        <v>1</v>
      </c>
      <c r="C7" s="5" t="s">
        <v>681</v>
      </c>
      <c r="F7" s="5" t="s">
        <v>704</v>
      </c>
    </row>
    <row r="8" spans="1:6" ht="58" x14ac:dyDescent="0.35">
      <c r="A8" t="s">
        <v>621</v>
      </c>
      <c r="B8" t="s">
        <v>1</v>
      </c>
      <c r="C8" s="5" t="s">
        <v>689</v>
      </c>
      <c r="E8" s="5"/>
      <c r="F8">
        <v>88427883</v>
      </c>
    </row>
    <row r="9" spans="1:6" ht="43.5" x14ac:dyDescent="0.35">
      <c r="A9" t="s">
        <v>622</v>
      </c>
      <c r="B9" t="s">
        <v>1</v>
      </c>
      <c r="C9" s="5" t="s">
        <v>678</v>
      </c>
      <c r="E9" s="5"/>
      <c r="F9" s="248" t="s">
        <v>705</v>
      </c>
    </row>
    <row r="10" spans="1:6" ht="29" x14ac:dyDescent="0.35">
      <c r="A10" t="s">
        <v>54</v>
      </c>
      <c r="B10" t="s">
        <v>1</v>
      </c>
      <c r="C10" s="5" t="s">
        <v>661</v>
      </c>
      <c r="F10" s="249">
        <v>88321165</v>
      </c>
    </row>
    <row r="11" spans="1:6" x14ac:dyDescent="0.35">
      <c r="A11" t="s">
        <v>55</v>
      </c>
      <c r="B11" t="s">
        <v>1</v>
      </c>
      <c r="C11" s="5" t="s">
        <v>662</v>
      </c>
    </row>
    <row r="12" spans="1:6" x14ac:dyDescent="0.35">
      <c r="A12" t="s">
        <v>623</v>
      </c>
      <c r="B12" t="s">
        <v>1</v>
      </c>
      <c r="C12" s="5" t="s">
        <v>662</v>
      </c>
      <c r="F12" s="248" t="s">
        <v>706</v>
      </c>
    </row>
    <row r="13" spans="1:6" x14ac:dyDescent="0.35">
      <c r="A13" t="s">
        <v>624</v>
      </c>
      <c r="B13" t="s">
        <v>1</v>
      </c>
      <c r="C13" s="5" t="s">
        <v>662</v>
      </c>
      <c r="F13" s="248" t="s">
        <v>707</v>
      </c>
    </row>
    <row r="14" spans="1:6" x14ac:dyDescent="0.35">
      <c r="A14" t="s">
        <v>625</v>
      </c>
      <c r="B14" t="s">
        <v>1</v>
      </c>
      <c r="C14" s="5" t="s">
        <v>662</v>
      </c>
      <c r="E14" s="5"/>
      <c r="F14" s="248" t="s">
        <v>708</v>
      </c>
    </row>
    <row r="15" spans="1:6" ht="29" x14ac:dyDescent="0.35">
      <c r="A15" t="s">
        <v>626</v>
      </c>
      <c r="B15" t="s">
        <v>1</v>
      </c>
      <c r="C15" s="5" t="s">
        <v>669</v>
      </c>
      <c r="F15" s="248" t="s">
        <v>709</v>
      </c>
    </row>
  </sheetData>
  <conditionalFormatting sqref="A2:A15">
    <cfRule type="expression" dxfId="164" priority="11">
      <formula>B2="Fail"</formula>
    </cfRule>
    <cfRule type="expression" dxfId="163" priority="12">
      <formula>B2="Pending"</formula>
    </cfRule>
  </conditionalFormatting>
  <conditionalFormatting sqref="A2:A15">
    <cfRule type="expression" dxfId="162" priority="10">
      <formula>B2="Pass"</formula>
    </cfRule>
  </conditionalFormatting>
  <dataValidations count="1">
    <dataValidation type="list" allowBlank="1" showInputMessage="1" showErrorMessage="1" sqref="B2:B15" xr:uid="{00000000-0002-0000-0C00-000000000000}">
      <formula1>#REF!</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6" operator="containsText" id="{6ECC3D14-83A9-4B99-A0E5-5E02D2B6152F}">
            <xm:f>NOT(ISERROR(SEARCH(#REF!,B2)))</xm:f>
            <xm:f>#REF!</xm:f>
            <x14:dxf>
              <font>
                <b val="0"/>
                <i val="0"/>
                <color theme="9" tint="-0.499984740745262"/>
              </font>
              <fill>
                <patternFill>
                  <bgColor theme="9" tint="0.59996337778862885"/>
                </patternFill>
              </fill>
            </x14:dxf>
          </x14:cfRule>
          <x14:cfRule type="containsText" priority="17" operator="containsText" id="{8CB8FE53-F634-430E-A974-CD6EF9DD5798}">
            <xm:f>NOT(ISERROR(SEARCH(#REF!,B2)))</xm:f>
            <xm:f>#REF!</xm:f>
            <x14:dxf>
              <font>
                <b val="0"/>
                <i val="0"/>
                <color rgb="FFC00000"/>
              </font>
              <fill>
                <patternFill>
                  <bgColor rgb="FFFFCCCC"/>
                </patternFill>
              </fill>
            </x14:dxf>
          </x14:cfRule>
          <x14:cfRule type="containsText" priority="18" operator="containsText" id="{83D00B0C-F876-4063-8A6F-FD8DFB4AAD67}">
            <xm:f>NOT(ISERROR(SEARCH(#REF!,B2)))</xm:f>
            <xm:f>#REF!</xm:f>
            <x14:dxf>
              <font>
                <b val="0"/>
                <i val="0"/>
                <color theme="7" tint="-0.499984740745262"/>
              </font>
              <fill>
                <patternFill>
                  <bgColor theme="7" tint="0.59996337778862885"/>
                </patternFill>
              </fill>
            </x14:dxf>
          </x14:cfRule>
          <xm:sqref>B2:B10 B14:B15</xm:sqref>
        </x14:conditionalFormatting>
        <x14:conditionalFormatting xmlns:xm="http://schemas.microsoft.com/office/excel/2006/main">
          <x14:cfRule type="containsText" priority="7" operator="containsText" id="{AEB7C235-77EB-4585-B3B6-A4B2821EC930}">
            <xm:f>NOT(ISERROR(SEARCH(#REF!,B11)))</xm:f>
            <xm:f>#REF!</xm:f>
            <x14:dxf>
              <font>
                <b val="0"/>
                <i val="0"/>
                <color theme="9" tint="-0.499984740745262"/>
              </font>
              <fill>
                <patternFill>
                  <bgColor theme="9" tint="0.59996337778862885"/>
                </patternFill>
              </fill>
            </x14:dxf>
          </x14:cfRule>
          <x14:cfRule type="containsText" priority="8" operator="containsText" id="{54DE5270-2532-44D7-AE11-E5C5A3AC2F23}">
            <xm:f>NOT(ISERROR(SEARCH(#REF!,B11)))</xm:f>
            <xm:f>#REF!</xm:f>
            <x14:dxf>
              <font>
                <b val="0"/>
                <i val="0"/>
                <color rgb="FFC00000"/>
              </font>
              <fill>
                <patternFill>
                  <bgColor rgb="FFFFCCCC"/>
                </patternFill>
              </fill>
            </x14:dxf>
          </x14:cfRule>
          <x14:cfRule type="containsText" priority="9" operator="containsText" id="{923987F4-0905-48C4-B172-25729AA79A0C}">
            <xm:f>NOT(ISERROR(SEARCH(#REF!,B11)))</xm:f>
            <xm:f>#REF!</xm:f>
            <x14:dxf>
              <font>
                <b val="0"/>
                <i val="0"/>
                <color theme="7" tint="-0.499984740745262"/>
              </font>
              <fill>
                <patternFill>
                  <bgColor theme="7" tint="0.59996337778862885"/>
                </patternFill>
              </fill>
            </x14:dxf>
          </x14:cfRule>
          <xm:sqref>B11</xm:sqref>
        </x14:conditionalFormatting>
        <x14:conditionalFormatting xmlns:xm="http://schemas.microsoft.com/office/excel/2006/main">
          <x14:cfRule type="containsText" priority="4" operator="containsText" id="{84243F55-8B09-46D0-8457-58DE8BE46B6B}">
            <xm:f>NOT(ISERROR(SEARCH(#REF!,B13)))</xm:f>
            <xm:f>#REF!</xm:f>
            <x14:dxf>
              <font>
                <b val="0"/>
                <i val="0"/>
                <color theme="9" tint="-0.499984740745262"/>
              </font>
              <fill>
                <patternFill>
                  <bgColor theme="9" tint="0.59996337778862885"/>
                </patternFill>
              </fill>
            </x14:dxf>
          </x14:cfRule>
          <x14:cfRule type="containsText" priority="5" operator="containsText" id="{D72540E3-9B42-4E13-901C-0D4D07016FCB}">
            <xm:f>NOT(ISERROR(SEARCH(#REF!,B13)))</xm:f>
            <xm:f>#REF!</xm:f>
            <x14:dxf>
              <font>
                <b val="0"/>
                <i val="0"/>
                <color rgb="FFC00000"/>
              </font>
              <fill>
                <patternFill>
                  <bgColor rgb="FFFFCCCC"/>
                </patternFill>
              </fill>
            </x14:dxf>
          </x14:cfRule>
          <x14:cfRule type="containsText" priority="6" operator="containsText" id="{7BCDB827-DA50-4DA6-A25F-F2547F7F58C9}">
            <xm:f>NOT(ISERROR(SEARCH(#REF!,B13)))</xm:f>
            <xm:f>#REF!</xm:f>
            <x14:dxf>
              <font>
                <b val="0"/>
                <i val="0"/>
                <color theme="7" tint="-0.499984740745262"/>
              </font>
              <fill>
                <patternFill>
                  <bgColor theme="7" tint="0.59996337778862885"/>
                </patternFill>
              </fill>
            </x14:dxf>
          </x14:cfRule>
          <xm:sqref>B13</xm:sqref>
        </x14:conditionalFormatting>
        <x14:conditionalFormatting xmlns:xm="http://schemas.microsoft.com/office/excel/2006/main">
          <x14:cfRule type="containsText" priority="1" operator="containsText" id="{E12E5DD8-8450-495D-AE63-603512716724}">
            <xm:f>NOT(ISERROR(SEARCH(#REF!,B12)))</xm:f>
            <xm:f>#REF!</xm:f>
            <x14:dxf>
              <font>
                <b val="0"/>
                <i val="0"/>
                <color theme="9" tint="-0.499984740745262"/>
              </font>
              <fill>
                <patternFill>
                  <bgColor theme="9" tint="0.59996337778862885"/>
                </patternFill>
              </fill>
            </x14:dxf>
          </x14:cfRule>
          <x14:cfRule type="containsText" priority="2" operator="containsText" id="{63FF2FE0-E5E8-420F-BF36-E2FE8673E2AF}">
            <xm:f>NOT(ISERROR(SEARCH(#REF!,B12)))</xm:f>
            <xm:f>#REF!</xm:f>
            <x14:dxf>
              <font>
                <b val="0"/>
                <i val="0"/>
                <color rgb="FFC00000"/>
              </font>
              <fill>
                <patternFill>
                  <bgColor rgb="FFFFCCCC"/>
                </patternFill>
              </fill>
            </x14:dxf>
          </x14:cfRule>
          <x14:cfRule type="containsText" priority="3" operator="containsText" id="{DAB55C16-84E2-4DE7-BEF8-6FDD208D791F}">
            <xm:f>NOT(ISERROR(SEARCH(#REF!,B12)))</xm:f>
            <xm:f>#REF!</xm:f>
            <x14:dxf>
              <font>
                <b val="0"/>
                <i val="0"/>
                <color theme="7" tint="-0.499984740745262"/>
              </font>
              <fill>
                <patternFill>
                  <bgColor theme="7" tint="0.59996337778862885"/>
                </patternFill>
              </fill>
            </x14:dxf>
          </x14:cfRule>
          <xm:sqref>B12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1000000}">
          <x14:formula1>
            <xm:f>Overview!$C$9:$C$12</xm:f>
          </x14:formula1>
          <xm:sqref>D2:D15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E24"/>
  <sheetViews>
    <sheetView workbookViewId="0">
      <selection activeCell="C19" sqref="C19"/>
    </sheetView>
  </sheetViews>
  <sheetFormatPr defaultRowHeight="14.5" x14ac:dyDescent="0.35"/>
  <cols>
    <col min="1" max="1" width="11.7265625" customWidth="1"/>
    <col min="3" max="3" width="82.81640625" style="5" customWidth="1"/>
    <col min="4" max="4" width="12.81640625" bestFit="1" customWidth="1"/>
    <col min="5" max="5" width="47.54296875" customWidth="1"/>
  </cols>
  <sheetData>
    <row r="1" spans="1:5" x14ac:dyDescent="0.35">
      <c r="A1" s="1" t="s">
        <v>1</v>
      </c>
      <c r="B1">
        <f>COUNTIF(Table6[Result],"Pass")</f>
        <v>0</v>
      </c>
    </row>
    <row r="2" spans="1:5" x14ac:dyDescent="0.35">
      <c r="A2" s="2" t="s">
        <v>2</v>
      </c>
      <c r="B2">
        <f>COUNTIF(Table6[Result],"Fail")</f>
        <v>0</v>
      </c>
    </row>
    <row r="3" spans="1:5" x14ac:dyDescent="0.35">
      <c r="A3" s="3" t="s">
        <v>3</v>
      </c>
      <c r="B3">
        <f>COUNTIF(Table6[Result],"Pending")</f>
        <v>11</v>
      </c>
    </row>
    <row r="4" spans="1:5" x14ac:dyDescent="0.35">
      <c r="A4" t="s">
        <v>4</v>
      </c>
      <c r="B4">
        <f>COUNTA(Table6[Test Case])</f>
        <v>11</v>
      </c>
    </row>
    <row r="5" spans="1:5" x14ac:dyDescent="0.35">
      <c r="A5" s="4" t="s">
        <v>0</v>
      </c>
      <c r="B5" s="4" t="s">
        <v>5</v>
      </c>
      <c r="C5" s="4" t="s">
        <v>90</v>
      </c>
      <c r="D5" s="4" t="s">
        <v>285</v>
      </c>
      <c r="E5" s="230" t="s">
        <v>636</v>
      </c>
    </row>
    <row r="6" spans="1:5" x14ac:dyDescent="0.35">
      <c r="A6" t="s">
        <v>205</v>
      </c>
      <c r="B6" t="s">
        <v>3</v>
      </c>
    </row>
    <row r="7" spans="1:5" x14ac:dyDescent="0.35">
      <c r="A7" t="s">
        <v>206</v>
      </c>
      <c r="B7" t="s">
        <v>3</v>
      </c>
    </row>
    <row r="8" spans="1:5" x14ac:dyDescent="0.35">
      <c r="A8" t="s">
        <v>207</v>
      </c>
      <c r="B8" t="s">
        <v>3</v>
      </c>
    </row>
    <row r="9" spans="1:5" x14ac:dyDescent="0.35">
      <c r="A9" t="s">
        <v>208</v>
      </c>
      <c r="B9" t="s">
        <v>3</v>
      </c>
    </row>
    <row r="10" spans="1:5" x14ac:dyDescent="0.35">
      <c r="A10" t="s">
        <v>209</v>
      </c>
      <c r="B10" t="s">
        <v>3</v>
      </c>
    </row>
    <row r="11" spans="1:5" x14ac:dyDescent="0.35">
      <c r="A11" t="s">
        <v>210</v>
      </c>
      <c r="B11" t="s">
        <v>3</v>
      </c>
    </row>
    <row r="12" spans="1:5" x14ac:dyDescent="0.35">
      <c r="A12" t="s">
        <v>53</v>
      </c>
      <c r="B12" t="s">
        <v>3</v>
      </c>
      <c r="C12" s="7"/>
    </row>
    <row r="13" spans="1:5" x14ac:dyDescent="0.35">
      <c r="A13" t="s">
        <v>211</v>
      </c>
      <c r="B13" t="s">
        <v>3</v>
      </c>
      <c r="C13" s="7"/>
    </row>
    <row r="14" spans="1:5" x14ac:dyDescent="0.35">
      <c r="A14" t="s">
        <v>212</v>
      </c>
      <c r="B14" t="s">
        <v>3</v>
      </c>
      <c r="C14" s="7"/>
    </row>
    <row r="15" spans="1:5" x14ac:dyDescent="0.35">
      <c r="A15" t="s">
        <v>213</v>
      </c>
      <c r="B15" t="s">
        <v>3</v>
      </c>
      <c r="C15" s="7"/>
    </row>
    <row r="16" spans="1:5" x14ac:dyDescent="0.35">
      <c r="A16" t="s">
        <v>643</v>
      </c>
      <c r="B16" t="s">
        <v>3</v>
      </c>
      <c r="C16" s="7"/>
    </row>
    <row r="17" spans="3:3" x14ac:dyDescent="0.35">
      <c r="C17" s="7"/>
    </row>
    <row r="18" spans="3:3" x14ac:dyDescent="0.35">
      <c r="C18" s="7"/>
    </row>
    <row r="19" spans="3:3" x14ac:dyDescent="0.35">
      <c r="C19" s="7"/>
    </row>
    <row r="20" spans="3:3" x14ac:dyDescent="0.35">
      <c r="C20" s="7"/>
    </row>
    <row r="21" spans="3:3" x14ac:dyDescent="0.35">
      <c r="C21" s="7"/>
    </row>
    <row r="22" spans="3:3" x14ac:dyDescent="0.35">
      <c r="C22" s="7"/>
    </row>
    <row r="23" spans="3:3" x14ac:dyDescent="0.35">
      <c r="C23" s="7"/>
    </row>
    <row r="24" spans="3:3" x14ac:dyDescent="0.35">
      <c r="C24" s="7"/>
    </row>
  </sheetData>
  <conditionalFormatting sqref="A6:A16">
    <cfRule type="expression" dxfId="148" priority="2">
      <formula>B6="Fail"</formula>
    </cfRule>
    <cfRule type="expression" dxfId="147" priority="3">
      <formula>B6="Pending"</formula>
    </cfRule>
  </conditionalFormatting>
  <conditionalFormatting sqref="A6:A16">
    <cfRule type="expression" dxfId="146" priority="1">
      <formula>B6="Pass"</formula>
    </cfRule>
  </conditionalFormatting>
  <dataValidations count="1">
    <dataValidation type="list" allowBlank="1" showInputMessage="1" showErrorMessage="1" sqref="B6:B16" xr:uid="{00000000-0002-0000-0D00-000000000000}">
      <formula1>$A$1:$A$3</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09F44F69-D47F-4F53-A26D-7B00BA4A5058}">
            <xm:f>NOT(ISERROR(SEARCH($A$1,B6)))</xm:f>
            <xm:f>$A$1</xm:f>
            <x14:dxf>
              <font>
                <b val="0"/>
                <i val="0"/>
                <color theme="9" tint="-0.499984740745262"/>
              </font>
              <fill>
                <patternFill>
                  <bgColor theme="9" tint="0.59996337778862885"/>
                </patternFill>
              </fill>
            </x14:dxf>
          </x14:cfRule>
          <x14:cfRule type="containsText" priority="5" operator="containsText" id="{52EA4B3C-44A2-4E42-958B-6E72757EFB3A}">
            <xm:f>NOT(ISERROR(SEARCH($A$2,B6)))</xm:f>
            <xm:f>$A$2</xm:f>
            <x14:dxf>
              <font>
                <b val="0"/>
                <i val="0"/>
                <color rgb="FFC00000"/>
              </font>
              <fill>
                <patternFill>
                  <bgColor rgb="FFFFCCCC"/>
                </patternFill>
              </fill>
            </x14:dxf>
          </x14:cfRule>
          <x14:cfRule type="containsText" priority="6" operator="containsText" id="{E84E04B9-9F63-4AD6-8970-3DCCA6D6D283}">
            <xm:f>NOT(ISERROR(SEARCH($A$3,B6)))</xm:f>
            <xm:f>$A$3</xm:f>
            <x14:dxf>
              <font>
                <b val="0"/>
                <i val="0"/>
                <color theme="7" tint="-0.499984740745262"/>
              </font>
              <fill>
                <patternFill>
                  <bgColor theme="7" tint="0.59996337778862885"/>
                </patternFill>
              </fill>
            </x14:dxf>
          </x14:cfRule>
          <xm:sqref>B6:B16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1000000}">
          <x14:formula1>
            <xm:f>Overview!$C$9:$C$12</xm:f>
          </x14:formula1>
          <xm:sqref>D6:D16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E6"/>
  <sheetViews>
    <sheetView workbookViewId="0">
      <selection activeCell="C22" sqref="C22"/>
    </sheetView>
  </sheetViews>
  <sheetFormatPr defaultRowHeight="14.5" x14ac:dyDescent="0.35"/>
  <cols>
    <col min="1" max="1" width="11" customWidth="1"/>
    <col min="3" max="3" width="79.7265625" style="5" customWidth="1"/>
    <col min="4" max="4" width="12.81640625" bestFit="1" customWidth="1"/>
    <col min="5" max="5" width="52.7265625" customWidth="1"/>
    <col min="6" max="6" width="30" customWidth="1"/>
    <col min="7" max="7" width="12.453125" customWidth="1"/>
    <col min="8" max="8" width="15" customWidth="1"/>
    <col min="9" max="9" width="19" customWidth="1"/>
  </cols>
  <sheetData>
    <row r="1" spans="1:5" ht="14.5" customHeight="1" x14ac:dyDescent="0.35">
      <c r="A1" s="4" t="s">
        <v>0</v>
      </c>
      <c r="B1" s="4" t="s">
        <v>5</v>
      </c>
      <c r="C1" s="4" t="s">
        <v>90</v>
      </c>
      <c r="D1" s="4" t="s">
        <v>285</v>
      </c>
      <c r="E1" s="230" t="s">
        <v>636</v>
      </c>
    </row>
    <row r="2" spans="1:5" x14ac:dyDescent="0.35">
      <c r="A2" t="s">
        <v>59</v>
      </c>
      <c r="B2" t="s">
        <v>1</v>
      </c>
      <c r="C2" s="8"/>
    </row>
    <row r="3" spans="1:5" x14ac:dyDescent="0.35">
      <c r="A3" t="s">
        <v>453</v>
      </c>
      <c r="B3" t="s">
        <v>2</v>
      </c>
      <c r="C3" s="8" t="s">
        <v>694</v>
      </c>
      <c r="E3" s="5"/>
    </row>
    <row r="4" spans="1:5" x14ac:dyDescent="0.35">
      <c r="A4" t="s">
        <v>57</v>
      </c>
      <c r="B4" t="s">
        <v>2</v>
      </c>
      <c r="C4" s="8" t="s">
        <v>694</v>
      </c>
    </row>
    <row r="5" spans="1:5" x14ac:dyDescent="0.35">
      <c r="A5" t="s">
        <v>58</v>
      </c>
      <c r="B5" t="s">
        <v>1</v>
      </c>
      <c r="C5" s="8" t="s">
        <v>690</v>
      </c>
    </row>
    <row r="6" spans="1:5" x14ac:dyDescent="0.35">
      <c r="A6" t="s">
        <v>158</v>
      </c>
      <c r="B6" t="s">
        <v>1</v>
      </c>
      <c r="C6" s="5" t="s">
        <v>725</v>
      </c>
    </row>
  </sheetData>
  <conditionalFormatting sqref="A2:A6">
    <cfRule type="expression" dxfId="140" priority="8">
      <formula>B2="Fail"</formula>
    </cfRule>
    <cfRule type="expression" dxfId="139" priority="9">
      <formula>B2="Pending"</formula>
    </cfRule>
  </conditionalFormatting>
  <conditionalFormatting sqref="A2:A6">
    <cfRule type="expression" dxfId="138" priority="7">
      <formula>B2="Pass"</formula>
    </cfRule>
  </conditionalFormatting>
  <dataValidations count="1">
    <dataValidation type="list" allowBlank="1" showInputMessage="1" showErrorMessage="1" sqref="B2:B6" xr:uid="{00000000-0002-0000-0E00-000000000000}">
      <formula1>#REF!</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 operator="containsText" id="{9D73587E-1630-48A6-B4E8-C52454190CC0}">
            <xm:f>NOT(ISERROR(SEARCH(#REF!,B2)))</xm:f>
            <xm:f>#REF!</xm:f>
            <x14:dxf>
              <font>
                <b val="0"/>
                <i val="0"/>
                <color theme="9" tint="-0.499984740745262"/>
              </font>
              <fill>
                <patternFill>
                  <bgColor theme="9" tint="0.59996337778862885"/>
                </patternFill>
              </fill>
            </x14:dxf>
          </x14:cfRule>
          <x14:cfRule type="containsText" priority="11" operator="containsText" id="{7FA055C4-4BDB-41F5-94EE-402CF6701172}">
            <xm:f>NOT(ISERROR(SEARCH(#REF!,B2)))</xm:f>
            <xm:f>#REF!</xm:f>
            <x14:dxf>
              <font>
                <b val="0"/>
                <i val="0"/>
                <color rgb="FFC00000"/>
              </font>
              <fill>
                <patternFill>
                  <bgColor rgb="FFFFCCCC"/>
                </patternFill>
              </fill>
            </x14:dxf>
          </x14:cfRule>
          <x14:cfRule type="containsText" priority="12" operator="containsText" id="{6CF14C55-2574-43A5-94C7-5481EEC72C73}">
            <xm:f>NOT(ISERROR(SEARCH(#REF!,B2)))</xm:f>
            <xm:f>#REF!</xm:f>
            <x14:dxf>
              <font>
                <b val="0"/>
                <i val="0"/>
                <color theme="7" tint="-0.499984740745262"/>
              </font>
              <fill>
                <patternFill>
                  <bgColor theme="7" tint="0.59996337778862885"/>
                </patternFill>
              </fill>
            </x14:dxf>
          </x14:cfRule>
          <xm:sqref>B2:B3 B6</xm:sqref>
        </x14:conditionalFormatting>
        <x14:conditionalFormatting xmlns:xm="http://schemas.microsoft.com/office/excel/2006/main">
          <x14:cfRule type="containsText" priority="4" operator="containsText" id="{E7A51B28-E8D2-4B48-8D9D-39B386D3B795}">
            <xm:f>NOT(ISERROR(SEARCH(#REF!,B4)))</xm:f>
            <xm:f>#REF!</xm:f>
            <x14:dxf>
              <font>
                <b val="0"/>
                <i val="0"/>
                <color theme="9" tint="-0.499984740745262"/>
              </font>
              <fill>
                <patternFill>
                  <bgColor theme="9" tint="0.59996337778862885"/>
                </patternFill>
              </fill>
            </x14:dxf>
          </x14:cfRule>
          <x14:cfRule type="containsText" priority="5" operator="containsText" id="{6E9E1739-52FC-44D8-AD6B-88D540D41BB2}">
            <xm:f>NOT(ISERROR(SEARCH(#REF!,B4)))</xm:f>
            <xm:f>#REF!</xm:f>
            <x14:dxf>
              <font>
                <b val="0"/>
                <i val="0"/>
                <color rgb="FFC00000"/>
              </font>
              <fill>
                <patternFill>
                  <bgColor rgb="FFFFCCCC"/>
                </patternFill>
              </fill>
            </x14:dxf>
          </x14:cfRule>
          <x14:cfRule type="containsText" priority="6" operator="containsText" id="{6545DFD0-D794-4502-9DF4-0280B104FB6D}">
            <xm:f>NOT(ISERROR(SEARCH(#REF!,B4)))</xm:f>
            <xm:f>#REF!</xm:f>
            <x14:dxf>
              <font>
                <b val="0"/>
                <i val="0"/>
                <color theme="7" tint="-0.499984740745262"/>
              </font>
              <fill>
                <patternFill>
                  <bgColor theme="7" tint="0.59996337778862885"/>
                </patternFill>
              </fill>
            </x14:dxf>
          </x14:cfRule>
          <xm:sqref>B4</xm:sqref>
        </x14:conditionalFormatting>
        <x14:conditionalFormatting xmlns:xm="http://schemas.microsoft.com/office/excel/2006/main">
          <x14:cfRule type="containsText" priority="1" operator="containsText" id="{2AAC10DE-4078-463D-B121-2A69033522F6}">
            <xm:f>NOT(ISERROR(SEARCH(#REF!,B5)))</xm:f>
            <xm:f>#REF!</xm:f>
            <x14:dxf>
              <font>
                <b val="0"/>
                <i val="0"/>
                <color theme="9" tint="-0.499984740745262"/>
              </font>
              <fill>
                <patternFill>
                  <bgColor theme="9" tint="0.59996337778862885"/>
                </patternFill>
              </fill>
            </x14:dxf>
          </x14:cfRule>
          <x14:cfRule type="containsText" priority="2" operator="containsText" id="{1929AB23-34C5-48FB-BEC9-1C5D58807B37}">
            <xm:f>NOT(ISERROR(SEARCH(#REF!,B5)))</xm:f>
            <xm:f>#REF!</xm:f>
            <x14:dxf>
              <font>
                <b val="0"/>
                <i val="0"/>
                <color rgb="FFC00000"/>
              </font>
              <fill>
                <patternFill>
                  <bgColor rgb="FFFFCCCC"/>
                </patternFill>
              </fill>
            </x14:dxf>
          </x14:cfRule>
          <x14:cfRule type="containsText" priority="3" operator="containsText" id="{B09A1883-07ED-4832-ABC4-CC4D9A55D6FB}">
            <xm:f>NOT(ISERROR(SEARCH(#REF!,B5)))</xm:f>
            <xm:f>#REF!</xm:f>
            <x14:dxf>
              <font>
                <b val="0"/>
                <i val="0"/>
                <color theme="7" tint="-0.499984740745262"/>
              </font>
              <fill>
                <patternFill>
                  <bgColor theme="7" tint="0.59996337778862885"/>
                </patternFill>
              </fill>
            </x14:dxf>
          </x14:cfRule>
          <xm:sqref>B5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Overview!$C$9:$C$12</xm:f>
          </x14:formula1>
          <xm:sqref>D2:D6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D64"/>
  <sheetViews>
    <sheetView workbookViewId="0">
      <selection activeCell="D16" sqref="D16"/>
    </sheetView>
  </sheetViews>
  <sheetFormatPr defaultRowHeight="14.5" x14ac:dyDescent="0.35"/>
  <cols>
    <col min="1" max="1" width="10.7265625" customWidth="1"/>
    <col min="3" max="3" width="58.26953125" style="5" customWidth="1"/>
    <col min="4" max="4" width="12.81640625" customWidth="1"/>
  </cols>
  <sheetData>
    <row r="1" spans="1:4" x14ac:dyDescent="0.35">
      <c r="A1" s="1" t="s">
        <v>1</v>
      </c>
      <c r="B1">
        <f>COUNTIF(Table4[Result],"Pass")</f>
        <v>0</v>
      </c>
    </row>
    <row r="2" spans="1:4" x14ac:dyDescent="0.35">
      <c r="A2" s="2" t="s">
        <v>2</v>
      </c>
      <c r="B2">
        <f>COUNTIF(Table4[Result],"Fail")</f>
        <v>0</v>
      </c>
    </row>
    <row r="3" spans="1:4" x14ac:dyDescent="0.35">
      <c r="A3" s="3" t="s">
        <v>3</v>
      </c>
      <c r="B3">
        <f>COUNTIF(Table4[Result],"Pending")</f>
        <v>59</v>
      </c>
    </row>
    <row r="4" spans="1:4" x14ac:dyDescent="0.35">
      <c r="A4" t="s">
        <v>4</v>
      </c>
      <c r="B4">
        <f>COUNTA(Table4[Test Case])</f>
        <v>59</v>
      </c>
    </row>
    <row r="5" spans="1:4" x14ac:dyDescent="0.35">
      <c r="A5" s="4" t="s">
        <v>0</v>
      </c>
      <c r="B5" s="4" t="s">
        <v>5</v>
      </c>
      <c r="C5" s="6" t="s">
        <v>183</v>
      </c>
      <c r="D5" s="4" t="s">
        <v>285</v>
      </c>
    </row>
    <row r="6" spans="1:4" x14ac:dyDescent="0.35">
      <c r="A6" t="s">
        <v>97</v>
      </c>
      <c r="B6" t="s">
        <v>3</v>
      </c>
    </row>
    <row r="7" spans="1:4" x14ac:dyDescent="0.35">
      <c r="A7" t="s">
        <v>98</v>
      </c>
      <c r="B7" t="s">
        <v>3</v>
      </c>
    </row>
    <row r="8" spans="1:4" x14ac:dyDescent="0.35">
      <c r="A8" t="s">
        <v>99</v>
      </c>
      <c r="B8" t="s">
        <v>3</v>
      </c>
    </row>
    <row r="9" spans="1:4" x14ac:dyDescent="0.35">
      <c r="A9" t="s">
        <v>100</v>
      </c>
      <c r="B9" t="s">
        <v>3</v>
      </c>
    </row>
    <row r="10" spans="1:4" x14ac:dyDescent="0.35">
      <c r="A10" t="s">
        <v>101</v>
      </c>
      <c r="B10" t="s">
        <v>3</v>
      </c>
    </row>
    <row r="11" spans="1:4" x14ac:dyDescent="0.35">
      <c r="A11" t="s">
        <v>102</v>
      </c>
      <c r="B11" t="s">
        <v>3</v>
      </c>
    </row>
    <row r="12" spans="1:4" x14ac:dyDescent="0.35">
      <c r="A12" t="s">
        <v>103</v>
      </c>
      <c r="B12" t="s">
        <v>3</v>
      </c>
    </row>
    <row r="13" spans="1:4" x14ac:dyDescent="0.35">
      <c r="A13" t="s">
        <v>104</v>
      </c>
      <c r="B13" t="s">
        <v>3</v>
      </c>
    </row>
    <row r="14" spans="1:4" x14ac:dyDescent="0.35">
      <c r="A14" t="s">
        <v>105</v>
      </c>
      <c r="B14" t="s">
        <v>3</v>
      </c>
    </row>
    <row r="15" spans="1:4" x14ac:dyDescent="0.35">
      <c r="A15" t="s">
        <v>106</v>
      </c>
      <c r="B15" t="s">
        <v>3</v>
      </c>
    </row>
    <row r="16" spans="1:4" x14ac:dyDescent="0.35">
      <c r="A16" t="s">
        <v>107</v>
      </c>
      <c r="B16" t="s">
        <v>3</v>
      </c>
    </row>
    <row r="17" spans="1:2" x14ac:dyDescent="0.35">
      <c r="A17" t="s">
        <v>108</v>
      </c>
      <c r="B17" t="s">
        <v>3</v>
      </c>
    </row>
    <row r="18" spans="1:2" x14ac:dyDescent="0.35">
      <c r="A18" t="s">
        <v>109</v>
      </c>
      <c r="B18" t="s">
        <v>3</v>
      </c>
    </row>
    <row r="19" spans="1:2" x14ac:dyDescent="0.35">
      <c r="A19" t="s">
        <v>110</v>
      </c>
      <c r="B19" t="s">
        <v>3</v>
      </c>
    </row>
    <row r="20" spans="1:2" x14ac:dyDescent="0.35">
      <c r="A20" t="s">
        <v>111</v>
      </c>
      <c r="B20" t="s">
        <v>3</v>
      </c>
    </row>
    <row r="21" spans="1:2" x14ac:dyDescent="0.35">
      <c r="A21" t="s">
        <v>112</v>
      </c>
      <c r="B21" t="s">
        <v>3</v>
      </c>
    </row>
    <row r="22" spans="1:2" x14ac:dyDescent="0.35">
      <c r="A22" t="s">
        <v>113</v>
      </c>
      <c r="B22" t="s">
        <v>3</v>
      </c>
    </row>
    <row r="23" spans="1:2" x14ac:dyDescent="0.35">
      <c r="A23" t="s">
        <v>114</v>
      </c>
      <c r="B23" t="s">
        <v>3</v>
      </c>
    </row>
    <row r="24" spans="1:2" x14ac:dyDescent="0.35">
      <c r="A24" t="s">
        <v>115</v>
      </c>
      <c r="B24" t="s">
        <v>3</v>
      </c>
    </row>
    <row r="25" spans="1:2" x14ac:dyDescent="0.35">
      <c r="A25" t="s">
        <v>116</v>
      </c>
      <c r="B25" t="s">
        <v>3</v>
      </c>
    </row>
    <row r="26" spans="1:2" x14ac:dyDescent="0.35">
      <c r="A26" t="s">
        <v>117</v>
      </c>
      <c r="B26" t="s">
        <v>3</v>
      </c>
    </row>
    <row r="27" spans="1:2" x14ac:dyDescent="0.35">
      <c r="A27" t="s">
        <v>118</v>
      </c>
      <c r="B27" t="s">
        <v>3</v>
      </c>
    </row>
    <row r="28" spans="1:2" x14ac:dyDescent="0.35">
      <c r="A28" t="s">
        <v>119</v>
      </c>
      <c r="B28" t="s">
        <v>3</v>
      </c>
    </row>
    <row r="29" spans="1:2" x14ac:dyDescent="0.35">
      <c r="A29" t="s">
        <v>120</v>
      </c>
      <c r="B29" t="s">
        <v>3</v>
      </c>
    </row>
    <row r="30" spans="1:2" x14ac:dyDescent="0.35">
      <c r="A30" t="s">
        <v>121</v>
      </c>
      <c r="B30" t="s">
        <v>3</v>
      </c>
    </row>
    <row r="31" spans="1:2" x14ac:dyDescent="0.35">
      <c r="A31" t="s">
        <v>122</v>
      </c>
      <c r="B31" t="s">
        <v>3</v>
      </c>
    </row>
    <row r="32" spans="1:2" x14ac:dyDescent="0.35">
      <c r="A32" t="s">
        <v>123</v>
      </c>
      <c r="B32" t="s">
        <v>3</v>
      </c>
    </row>
    <row r="33" spans="1:2" x14ac:dyDescent="0.35">
      <c r="A33" t="s">
        <v>124</v>
      </c>
      <c r="B33" t="s">
        <v>3</v>
      </c>
    </row>
    <row r="34" spans="1:2" x14ac:dyDescent="0.35">
      <c r="A34" t="s">
        <v>125</v>
      </c>
      <c r="B34" t="s">
        <v>3</v>
      </c>
    </row>
    <row r="35" spans="1:2" x14ac:dyDescent="0.35">
      <c r="A35" t="s">
        <v>126</v>
      </c>
      <c r="B35" t="s">
        <v>3</v>
      </c>
    </row>
    <row r="36" spans="1:2" x14ac:dyDescent="0.35">
      <c r="A36" t="s">
        <v>127</v>
      </c>
      <c r="B36" t="s">
        <v>3</v>
      </c>
    </row>
    <row r="37" spans="1:2" x14ac:dyDescent="0.35">
      <c r="A37" t="s">
        <v>128</v>
      </c>
      <c r="B37" t="s">
        <v>3</v>
      </c>
    </row>
    <row r="38" spans="1:2" x14ac:dyDescent="0.35">
      <c r="A38" t="s">
        <v>129</v>
      </c>
      <c r="B38" t="s">
        <v>3</v>
      </c>
    </row>
    <row r="39" spans="1:2" x14ac:dyDescent="0.35">
      <c r="A39" t="s">
        <v>130</v>
      </c>
      <c r="B39" t="s">
        <v>3</v>
      </c>
    </row>
    <row r="40" spans="1:2" x14ac:dyDescent="0.35">
      <c r="A40" t="s">
        <v>131</v>
      </c>
      <c r="B40" t="s">
        <v>3</v>
      </c>
    </row>
    <row r="41" spans="1:2" x14ac:dyDescent="0.35">
      <c r="A41" t="s">
        <v>132</v>
      </c>
      <c r="B41" t="s">
        <v>3</v>
      </c>
    </row>
    <row r="42" spans="1:2" x14ac:dyDescent="0.35">
      <c r="A42" t="s">
        <v>133</v>
      </c>
      <c r="B42" t="s">
        <v>3</v>
      </c>
    </row>
    <row r="43" spans="1:2" x14ac:dyDescent="0.35">
      <c r="A43" t="s">
        <v>134</v>
      </c>
      <c r="B43" t="s">
        <v>3</v>
      </c>
    </row>
    <row r="44" spans="1:2" x14ac:dyDescent="0.35">
      <c r="A44" t="s">
        <v>135</v>
      </c>
      <c r="B44" t="s">
        <v>3</v>
      </c>
    </row>
    <row r="45" spans="1:2" x14ac:dyDescent="0.35">
      <c r="A45" t="s">
        <v>136</v>
      </c>
      <c r="B45" t="s">
        <v>3</v>
      </c>
    </row>
    <row r="46" spans="1:2" x14ac:dyDescent="0.35">
      <c r="A46" t="s">
        <v>137</v>
      </c>
      <c r="B46" t="s">
        <v>3</v>
      </c>
    </row>
    <row r="47" spans="1:2" x14ac:dyDescent="0.35">
      <c r="A47" t="s">
        <v>138</v>
      </c>
      <c r="B47" t="s">
        <v>3</v>
      </c>
    </row>
    <row r="48" spans="1:2" x14ac:dyDescent="0.35">
      <c r="A48" t="s">
        <v>139</v>
      </c>
      <c r="B48" t="s">
        <v>3</v>
      </c>
    </row>
    <row r="49" spans="1:2" x14ac:dyDescent="0.35">
      <c r="A49" t="s">
        <v>140</v>
      </c>
      <c r="B49" t="s">
        <v>3</v>
      </c>
    </row>
    <row r="50" spans="1:2" x14ac:dyDescent="0.35">
      <c r="A50" t="s">
        <v>141</v>
      </c>
      <c r="B50" t="s">
        <v>3</v>
      </c>
    </row>
    <row r="51" spans="1:2" x14ac:dyDescent="0.35">
      <c r="A51" t="s">
        <v>142</v>
      </c>
      <c r="B51" t="s">
        <v>3</v>
      </c>
    </row>
    <row r="52" spans="1:2" x14ac:dyDescent="0.35">
      <c r="A52" t="s">
        <v>143</v>
      </c>
      <c r="B52" t="s">
        <v>3</v>
      </c>
    </row>
    <row r="53" spans="1:2" x14ac:dyDescent="0.35">
      <c r="A53" t="s">
        <v>144</v>
      </c>
      <c r="B53" t="s">
        <v>3</v>
      </c>
    </row>
    <row r="54" spans="1:2" x14ac:dyDescent="0.35">
      <c r="A54" t="s">
        <v>145</v>
      </c>
      <c r="B54" t="s">
        <v>3</v>
      </c>
    </row>
    <row r="55" spans="1:2" x14ac:dyDescent="0.35">
      <c r="A55" t="s">
        <v>146</v>
      </c>
      <c r="B55" t="s">
        <v>3</v>
      </c>
    </row>
    <row r="56" spans="1:2" x14ac:dyDescent="0.35">
      <c r="A56" t="s">
        <v>147</v>
      </c>
      <c r="B56" t="s">
        <v>3</v>
      </c>
    </row>
    <row r="57" spans="1:2" x14ac:dyDescent="0.35">
      <c r="A57" t="s">
        <v>148</v>
      </c>
      <c r="B57" t="s">
        <v>3</v>
      </c>
    </row>
    <row r="58" spans="1:2" x14ac:dyDescent="0.35">
      <c r="A58" t="s">
        <v>149</v>
      </c>
      <c r="B58" t="s">
        <v>3</v>
      </c>
    </row>
    <row r="59" spans="1:2" x14ac:dyDescent="0.35">
      <c r="A59" t="s">
        <v>150</v>
      </c>
      <c r="B59" t="s">
        <v>3</v>
      </c>
    </row>
    <row r="60" spans="1:2" x14ac:dyDescent="0.35">
      <c r="A60" t="s">
        <v>151</v>
      </c>
      <c r="B60" t="s">
        <v>3</v>
      </c>
    </row>
    <row r="61" spans="1:2" x14ac:dyDescent="0.35">
      <c r="A61" t="s">
        <v>152</v>
      </c>
      <c r="B61" t="s">
        <v>3</v>
      </c>
    </row>
    <row r="62" spans="1:2" x14ac:dyDescent="0.35">
      <c r="A62" t="s">
        <v>153</v>
      </c>
      <c r="B62" t="s">
        <v>3</v>
      </c>
    </row>
    <row r="63" spans="1:2" x14ac:dyDescent="0.35">
      <c r="A63" t="s">
        <v>154</v>
      </c>
      <c r="B63" t="s">
        <v>3</v>
      </c>
    </row>
    <row r="64" spans="1:2" x14ac:dyDescent="0.35">
      <c r="A64" t="s">
        <v>155</v>
      </c>
      <c r="B64" t="s">
        <v>3</v>
      </c>
    </row>
  </sheetData>
  <conditionalFormatting sqref="A6:A64">
    <cfRule type="expression" dxfId="126" priority="2">
      <formula>B6="Fail"</formula>
    </cfRule>
    <cfRule type="expression" dxfId="125" priority="3">
      <formula>B6="Pending"</formula>
    </cfRule>
  </conditionalFormatting>
  <conditionalFormatting sqref="A6:A64">
    <cfRule type="expression" dxfId="124" priority="1">
      <formula>B6="Pass"</formula>
    </cfRule>
  </conditionalFormatting>
  <dataValidations count="1">
    <dataValidation type="list" allowBlank="1" showInputMessage="1" showErrorMessage="1" sqref="B6:B64" xr:uid="{00000000-0002-0000-0F00-000000000000}">
      <formula1>$A$1:$A$3</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B0944BB7-B952-4A8E-960E-2061047671FF}">
            <xm:f>NOT(ISERROR(SEARCH($A$1,B6)))</xm:f>
            <xm:f>$A$1</xm:f>
            <x14:dxf>
              <font>
                <b val="0"/>
                <i val="0"/>
                <color theme="9" tint="-0.499984740745262"/>
              </font>
              <fill>
                <patternFill>
                  <bgColor theme="9" tint="0.59996337778862885"/>
                </patternFill>
              </fill>
            </x14:dxf>
          </x14:cfRule>
          <x14:cfRule type="containsText" priority="5" operator="containsText" id="{4C535CF7-F5C1-4214-8AA7-8287BCC8758C}">
            <xm:f>NOT(ISERROR(SEARCH($A$2,B6)))</xm:f>
            <xm:f>$A$2</xm:f>
            <x14:dxf>
              <font>
                <b val="0"/>
                <i val="0"/>
                <color rgb="FFC00000"/>
              </font>
              <fill>
                <patternFill>
                  <bgColor rgb="FFFFCCCC"/>
                </patternFill>
              </fill>
            </x14:dxf>
          </x14:cfRule>
          <x14:cfRule type="containsText" priority="6" operator="containsText" id="{CCB22C5E-2F92-4021-A579-199550C20300}">
            <xm:f>NOT(ISERROR(SEARCH($A$3,B6)))</xm:f>
            <xm:f>$A$3</xm:f>
            <x14:dxf>
              <font>
                <b val="0"/>
                <i val="0"/>
                <color theme="7" tint="-0.499984740745262"/>
              </font>
              <fill>
                <patternFill>
                  <bgColor theme="7" tint="0.59996337778862885"/>
                </patternFill>
              </fill>
            </x14:dxf>
          </x14:cfRule>
          <xm:sqref>B6:B64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Overview!$C$9:$C$12</xm:f>
          </x14:formula1>
          <xm:sqref>D6:D64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dimension ref="A1:D35"/>
  <sheetViews>
    <sheetView workbookViewId="0">
      <selection activeCell="C6" sqref="C6"/>
    </sheetView>
  </sheetViews>
  <sheetFormatPr defaultRowHeight="14.5" x14ac:dyDescent="0.35"/>
  <cols>
    <col min="1" max="1" width="14.54296875" customWidth="1"/>
    <col min="3" max="3" width="62.1796875" customWidth="1"/>
    <col min="4" max="4" width="12.81640625" bestFit="1" customWidth="1"/>
  </cols>
  <sheetData>
    <row r="1" spans="1:4" x14ac:dyDescent="0.35">
      <c r="A1" s="1" t="s">
        <v>1</v>
      </c>
      <c r="B1">
        <f>COUNTIF(Table2[Result],"Pass")</f>
        <v>0</v>
      </c>
    </row>
    <row r="2" spans="1:4" x14ac:dyDescent="0.35">
      <c r="A2" s="2" t="s">
        <v>2</v>
      </c>
      <c r="B2">
        <f>COUNTIF(Table2[Result],"Fail")</f>
        <v>0</v>
      </c>
    </row>
    <row r="3" spans="1:4" x14ac:dyDescent="0.35">
      <c r="A3" s="3" t="s">
        <v>3</v>
      </c>
      <c r="B3">
        <f>COUNTIF(Table2[Result],"Pending")</f>
        <v>30</v>
      </c>
    </row>
    <row r="4" spans="1:4" x14ac:dyDescent="0.35">
      <c r="A4" t="s">
        <v>4</v>
      </c>
      <c r="B4">
        <f>COUNTA(Table2[Result])</f>
        <v>30</v>
      </c>
    </row>
    <row r="5" spans="1:4" x14ac:dyDescent="0.35">
      <c r="A5" s="4" t="s">
        <v>0</v>
      </c>
      <c r="B5" s="4" t="s">
        <v>5</v>
      </c>
      <c r="C5" s="4" t="s">
        <v>183</v>
      </c>
      <c r="D5" s="4" t="s">
        <v>285</v>
      </c>
    </row>
    <row r="6" spans="1:4" x14ac:dyDescent="0.35">
      <c r="A6" t="s">
        <v>60</v>
      </c>
      <c r="B6" t="s">
        <v>3</v>
      </c>
      <c r="C6" s="5"/>
    </row>
    <row r="7" spans="1:4" x14ac:dyDescent="0.35">
      <c r="A7" t="s">
        <v>61</v>
      </c>
      <c r="B7" t="s">
        <v>3</v>
      </c>
      <c r="C7" s="5"/>
    </row>
    <row r="8" spans="1:4" x14ac:dyDescent="0.35">
      <c r="A8" t="s">
        <v>62</v>
      </c>
      <c r="B8" t="s">
        <v>3</v>
      </c>
      <c r="C8" s="5"/>
    </row>
    <row r="9" spans="1:4" x14ac:dyDescent="0.35">
      <c r="A9" t="s">
        <v>63</v>
      </c>
      <c r="B9" t="s">
        <v>3</v>
      </c>
      <c r="C9" s="5"/>
    </row>
    <row r="10" spans="1:4" x14ac:dyDescent="0.35">
      <c r="A10" t="s">
        <v>64</v>
      </c>
      <c r="B10" t="s">
        <v>3</v>
      </c>
      <c r="C10" s="5"/>
    </row>
    <row r="11" spans="1:4" x14ac:dyDescent="0.35">
      <c r="A11" t="s">
        <v>65</v>
      </c>
      <c r="B11" t="s">
        <v>3</v>
      </c>
      <c r="C11" s="5"/>
    </row>
    <row r="12" spans="1:4" x14ac:dyDescent="0.35">
      <c r="A12" t="s">
        <v>66</v>
      </c>
      <c r="B12" t="s">
        <v>3</v>
      </c>
      <c r="C12" s="5"/>
    </row>
    <row r="13" spans="1:4" x14ac:dyDescent="0.35">
      <c r="A13" t="s">
        <v>67</v>
      </c>
      <c r="B13" t="s">
        <v>3</v>
      </c>
      <c r="C13" s="5"/>
    </row>
    <row r="14" spans="1:4" x14ac:dyDescent="0.35">
      <c r="A14" t="s">
        <v>68</v>
      </c>
      <c r="B14" t="s">
        <v>3</v>
      </c>
      <c r="C14" s="5"/>
    </row>
    <row r="15" spans="1:4" x14ac:dyDescent="0.35">
      <c r="A15" t="s">
        <v>69</v>
      </c>
      <c r="B15" t="s">
        <v>3</v>
      </c>
      <c r="C15" s="5"/>
    </row>
    <row r="16" spans="1:4" x14ac:dyDescent="0.35">
      <c r="A16" t="s">
        <v>70</v>
      </c>
      <c r="B16" t="s">
        <v>3</v>
      </c>
      <c r="C16" s="5"/>
    </row>
    <row r="17" spans="1:3" x14ac:dyDescent="0.35">
      <c r="A17" t="s">
        <v>71</v>
      </c>
      <c r="B17" t="s">
        <v>3</v>
      </c>
      <c r="C17" s="5"/>
    </row>
    <row r="18" spans="1:3" x14ac:dyDescent="0.35">
      <c r="A18" t="s">
        <v>72</v>
      </c>
      <c r="B18" t="s">
        <v>3</v>
      </c>
      <c r="C18" s="5"/>
    </row>
    <row r="19" spans="1:3" x14ac:dyDescent="0.35">
      <c r="A19" t="s">
        <v>73</v>
      </c>
      <c r="B19" t="s">
        <v>3</v>
      </c>
      <c r="C19" s="5"/>
    </row>
    <row r="20" spans="1:3" x14ac:dyDescent="0.35">
      <c r="A20" t="s">
        <v>74</v>
      </c>
      <c r="B20" t="s">
        <v>3</v>
      </c>
      <c r="C20" s="5"/>
    </row>
    <row r="21" spans="1:3" x14ac:dyDescent="0.35">
      <c r="A21" t="s">
        <v>75</v>
      </c>
      <c r="B21" t="s">
        <v>3</v>
      </c>
      <c r="C21" s="5"/>
    </row>
    <row r="22" spans="1:3" x14ac:dyDescent="0.35">
      <c r="A22" t="s">
        <v>76</v>
      </c>
      <c r="B22" t="s">
        <v>3</v>
      </c>
      <c r="C22" s="5"/>
    </row>
    <row r="23" spans="1:3" x14ac:dyDescent="0.35">
      <c r="A23" t="s">
        <v>77</v>
      </c>
      <c r="B23" t="s">
        <v>3</v>
      </c>
      <c r="C23" s="5"/>
    </row>
    <row r="24" spans="1:3" x14ac:dyDescent="0.35">
      <c r="A24" t="s">
        <v>78</v>
      </c>
      <c r="B24" t="s">
        <v>3</v>
      </c>
      <c r="C24" s="5"/>
    </row>
    <row r="25" spans="1:3" x14ac:dyDescent="0.35">
      <c r="A25" t="s">
        <v>79</v>
      </c>
      <c r="B25" t="s">
        <v>3</v>
      </c>
      <c r="C25" s="5"/>
    </row>
    <row r="26" spans="1:3" x14ac:dyDescent="0.35">
      <c r="A26" t="s">
        <v>80</v>
      </c>
      <c r="B26" t="s">
        <v>3</v>
      </c>
      <c r="C26" s="5"/>
    </row>
    <row r="27" spans="1:3" x14ac:dyDescent="0.35">
      <c r="A27" t="s">
        <v>81</v>
      </c>
      <c r="B27" t="s">
        <v>3</v>
      </c>
      <c r="C27" s="5"/>
    </row>
    <row r="28" spans="1:3" x14ac:dyDescent="0.35">
      <c r="A28" t="s">
        <v>82</v>
      </c>
      <c r="B28" t="s">
        <v>3</v>
      </c>
      <c r="C28" s="5"/>
    </row>
    <row r="29" spans="1:3" x14ac:dyDescent="0.35">
      <c r="A29" t="s">
        <v>83</v>
      </c>
      <c r="B29" t="s">
        <v>3</v>
      </c>
      <c r="C29" s="5"/>
    </row>
    <row r="30" spans="1:3" x14ac:dyDescent="0.35">
      <c r="A30" t="s">
        <v>84</v>
      </c>
      <c r="B30" t="s">
        <v>3</v>
      </c>
      <c r="C30" s="5"/>
    </row>
    <row r="31" spans="1:3" x14ac:dyDescent="0.35">
      <c r="A31" t="s">
        <v>85</v>
      </c>
      <c r="B31" t="s">
        <v>3</v>
      </c>
      <c r="C31" s="5"/>
    </row>
    <row r="32" spans="1:3" x14ac:dyDescent="0.35">
      <c r="A32" t="s">
        <v>86</v>
      </c>
      <c r="B32" t="s">
        <v>3</v>
      </c>
      <c r="C32" s="5"/>
    </row>
    <row r="33" spans="1:3" x14ac:dyDescent="0.35">
      <c r="A33" t="s">
        <v>87</v>
      </c>
      <c r="B33" t="s">
        <v>3</v>
      </c>
      <c r="C33" s="5"/>
    </row>
    <row r="34" spans="1:3" x14ac:dyDescent="0.35">
      <c r="A34" t="s">
        <v>88</v>
      </c>
      <c r="B34" t="s">
        <v>3</v>
      </c>
      <c r="C34" s="5"/>
    </row>
    <row r="35" spans="1:3" x14ac:dyDescent="0.35">
      <c r="A35" t="s">
        <v>89</v>
      </c>
      <c r="B35" t="s">
        <v>3</v>
      </c>
      <c r="C35" s="5"/>
    </row>
  </sheetData>
  <conditionalFormatting sqref="A7:A23">
    <cfRule type="expression" dxfId="118" priority="32">
      <formula>B7="Fail"</formula>
    </cfRule>
    <cfRule type="expression" dxfId="117" priority="33">
      <formula>B7="Pending"</formula>
    </cfRule>
  </conditionalFormatting>
  <conditionalFormatting sqref="A7:A23">
    <cfRule type="expression" dxfId="116" priority="31">
      <formula>B7="Pass"</formula>
    </cfRule>
  </conditionalFormatting>
  <conditionalFormatting sqref="A6">
    <cfRule type="expression" dxfId="115" priority="26">
      <formula>B6="Fail"</formula>
    </cfRule>
    <cfRule type="expression" dxfId="114" priority="27">
      <formula>B6="Pending"</formula>
    </cfRule>
  </conditionalFormatting>
  <conditionalFormatting sqref="A6">
    <cfRule type="expression" dxfId="113" priority="25">
      <formula>B6="Pass"</formula>
    </cfRule>
  </conditionalFormatting>
  <conditionalFormatting sqref="A24">
    <cfRule type="expression" dxfId="112" priority="8">
      <formula>B24="Fail"</formula>
    </cfRule>
    <cfRule type="expression" dxfId="111" priority="9">
      <formula>B24="Pending"</formula>
    </cfRule>
  </conditionalFormatting>
  <conditionalFormatting sqref="A24">
    <cfRule type="expression" dxfId="110" priority="7">
      <formula>B24="Pass"</formula>
    </cfRule>
  </conditionalFormatting>
  <conditionalFormatting sqref="A25">
    <cfRule type="expression" dxfId="109" priority="5">
      <formula>B25="Fail"</formula>
    </cfRule>
    <cfRule type="expression" dxfId="108" priority="6">
      <formula>B25="Pending"</formula>
    </cfRule>
  </conditionalFormatting>
  <conditionalFormatting sqref="A25">
    <cfRule type="expression" dxfId="107" priority="4">
      <formula>B25="Pass"</formula>
    </cfRule>
  </conditionalFormatting>
  <conditionalFormatting sqref="A26:A35">
    <cfRule type="expression" dxfId="106" priority="2">
      <formula>B26="Fail"</formula>
    </cfRule>
    <cfRule type="expression" dxfId="105" priority="3">
      <formula>B26="Pending"</formula>
    </cfRule>
  </conditionalFormatting>
  <conditionalFormatting sqref="A26:A35">
    <cfRule type="expression" dxfId="104" priority="1">
      <formula>B26="Pass"</formula>
    </cfRule>
  </conditionalFormatting>
  <dataValidations count="1">
    <dataValidation type="list" allowBlank="1" showInputMessage="1" showErrorMessage="1" sqref="B6:B35" xr:uid="{00000000-0002-0000-1000-000000000000}">
      <formula1>$A$1:$A$3</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EE88D6EE-6D9E-4E89-92E0-DA6AB548B507}">
            <xm:f>NOT(ISERROR(SEARCH($A$1,B6)))</xm:f>
            <xm:f>$A$1</xm:f>
            <x14:dxf>
              <font>
                <b val="0"/>
                <i val="0"/>
                <color theme="9" tint="-0.499984740745262"/>
              </font>
              <fill>
                <patternFill>
                  <bgColor theme="9" tint="0.59996337778862885"/>
                </patternFill>
              </fill>
            </x14:dxf>
          </x14:cfRule>
          <x14:cfRule type="containsText" priority="35" operator="containsText" id="{F5953B63-C02C-4708-B930-3FC4B3D62B78}">
            <xm:f>NOT(ISERROR(SEARCH($A$2,B6)))</xm:f>
            <xm:f>$A$2</xm:f>
            <x14:dxf>
              <font>
                <b val="0"/>
                <i val="0"/>
                <color rgb="FFC00000"/>
              </font>
              <fill>
                <patternFill>
                  <bgColor rgb="FFFFCCCC"/>
                </patternFill>
              </fill>
            </x14:dxf>
          </x14:cfRule>
          <x14:cfRule type="containsText" priority="36" operator="containsText" id="{145FB54E-03E5-47A1-86D7-F9A43CD766CC}">
            <xm:f>NOT(ISERROR(SEARCH($A$3,B6)))</xm:f>
            <xm:f>$A$3</xm:f>
            <x14:dxf>
              <font>
                <b val="0"/>
                <i val="0"/>
                <color theme="7" tint="-0.499984740745262"/>
              </font>
              <fill>
                <patternFill>
                  <bgColor theme="7" tint="0.59996337778862885"/>
                </patternFill>
              </fill>
            </x14:dxf>
          </x14:cfRule>
          <xm:sqref>B6:B35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Overview!$C$9:$C$12</xm:f>
          </x14:formula1>
          <xm:sqref>D6:D35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G24"/>
  <sheetViews>
    <sheetView workbookViewId="0">
      <selection activeCell="F15" sqref="F15"/>
    </sheetView>
  </sheetViews>
  <sheetFormatPr defaultRowHeight="14.5" x14ac:dyDescent="0.35"/>
  <cols>
    <col min="1" max="1" width="3" bestFit="1" customWidth="1"/>
    <col min="2" max="2" width="74.26953125" customWidth="1"/>
    <col min="3" max="3" width="9" customWidth="1"/>
    <col min="4" max="4" width="19" customWidth="1"/>
    <col min="5" max="5" width="21.1796875" bestFit="1" customWidth="1"/>
    <col min="6" max="6" width="47.1796875" customWidth="1"/>
    <col min="7" max="7" width="13.54296875" customWidth="1"/>
  </cols>
  <sheetData>
    <row r="1" spans="1:7" ht="15" thickBot="1" x14ac:dyDescent="0.4">
      <c r="A1" s="251" t="s">
        <v>339</v>
      </c>
      <c r="B1" s="252"/>
      <c r="C1" s="252"/>
      <c r="D1" s="252"/>
      <c r="E1" s="252"/>
      <c r="F1" s="252"/>
      <c r="G1" s="253"/>
    </row>
    <row r="2" spans="1:7" ht="15" thickBot="1" x14ac:dyDescent="0.4">
      <c r="A2" s="61"/>
      <c r="B2" s="62" t="s">
        <v>340</v>
      </c>
      <c r="C2" s="62" t="s">
        <v>341</v>
      </c>
      <c r="D2" s="63" t="s">
        <v>342</v>
      </c>
      <c r="E2" s="64" t="s">
        <v>343</v>
      </c>
      <c r="F2" s="65" t="s">
        <v>344</v>
      </c>
      <c r="G2" s="66" t="s">
        <v>345</v>
      </c>
    </row>
    <row r="3" spans="1:7" ht="43.5" x14ac:dyDescent="0.35">
      <c r="A3" s="67">
        <v>1</v>
      </c>
      <c r="B3" s="224" t="s">
        <v>627</v>
      </c>
      <c r="C3" s="220" t="s">
        <v>615</v>
      </c>
      <c r="D3" s="221">
        <v>43249</v>
      </c>
      <c r="E3" s="222" t="s">
        <v>616</v>
      </c>
      <c r="F3" s="223" t="s">
        <v>634</v>
      </c>
      <c r="G3" s="68" t="s">
        <v>269</v>
      </c>
    </row>
    <row r="4" spans="1:7" ht="43.5" x14ac:dyDescent="0.35">
      <c r="A4" s="69">
        <v>2</v>
      </c>
      <c r="B4" s="216" t="s">
        <v>668</v>
      </c>
      <c r="C4" s="70" t="s">
        <v>615</v>
      </c>
      <c r="D4" s="71">
        <v>43249</v>
      </c>
      <c r="E4" s="239" t="s">
        <v>670</v>
      </c>
      <c r="F4" s="73" t="s">
        <v>682</v>
      </c>
      <c r="G4" s="74" t="s">
        <v>269</v>
      </c>
    </row>
    <row r="5" spans="1:7" ht="29" x14ac:dyDescent="0.35">
      <c r="A5" s="75">
        <v>3</v>
      </c>
      <c r="B5" s="219" t="s">
        <v>628</v>
      </c>
      <c r="C5" s="76" t="s">
        <v>615</v>
      </c>
      <c r="D5" s="77">
        <v>43249</v>
      </c>
      <c r="E5" s="217" t="s">
        <v>616</v>
      </c>
      <c r="F5" s="218" t="s">
        <v>633</v>
      </c>
      <c r="G5" s="78" t="s">
        <v>269</v>
      </c>
    </row>
    <row r="6" spans="1:7" ht="29" x14ac:dyDescent="0.35">
      <c r="A6" s="79">
        <v>4</v>
      </c>
      <c r="B6" s="216" t="s">
        <v>629</v>
      </c>
      <c r="C6" s="70" t="s">
        <v>615</v>
      </c>
      <c r="D6" s="71">
        <v>43249</v>
      </c>
      <c r="E6" s="80" t="s">
        <v>616</v>
      </c>
      <c r="F6" s="70" t="s">
        <v>635</v>
      </c>
      <c r="G6" s="74" t="s">
        <v>269</v>
      </c>
    </row>
    <row r="7" spans="1:7" ht="58" x14ac:dyDescent="0.35">
      <c r="A7" s="81">
        <v>5</v>
      </c>
      <c r="B7" s="244" t="s">
        <v>630</v>
      </c>
      <c r="C7" s="240" t="s">
        <v>615</v>
      </c>
      <c r="D7" s="241">
        <v>43249</v>
      </c>
      <c r="E7" s="242" t="s">
        <v>684</v>
      </c>
      <c r="F7" s="243" t="s">
        <v>685</v>
      </c>
      <c r="G7" s="82" t="s">
        <v>269</v>
      </c>
    </row>
    <row r="8" spans="1:7" ht="29" x14ac:dyDescent="0.35">
      <c r="A8" s="79">
        <v>6</v>
      </c>
      <c r="B8" s="215" t="s">
        <v>631</v>
      </c>
      <c r="C8" s="73" t="s">
        <v>615</v>
      </c>
      <c r="D8" s="72">
        <v>43249</v>
      </c>
      <c r="E8" s="72" t="s">
        <v>616</v>
      </c>
      <c r="F8" s="73" t="s">
        <v>632</v>
      </c>
      <c r="G8" s="74" t="s">
        <v>269</v>
      </c>
    </row>
    <row r="9" spans="1:7" x14ac:dyDescent="0.35">
      <c r="A9" s="81">
        <v>7</v>
      </c>
      <c r="B9" s="99" t="s">
        <v>637</v>
      </c>
      <c r="C9" s="225" t="s">
        <v>615</v>
      </c>
      <c r="D9" s="226">
        <v>43249</v>
      </c>
      <c r="E9" s="227" t="s">
        <v>660</v>
      </c>
      <c r="F9" s="225" t="s">
        <v>638</v>
      </c>
      <c r="G9" s="82"/>
    </row>
    <row r="10" spans="1:7" ht="29" x14ac:dyDescent="0.35">
      <c r="A10" s="79">
        <v>8</v>
      </c>
      <c r="B10" s="98" t="s">
        <v>641</v>
      </c>
      <c r="C10" s="228" t="s">
        <v>615</v>
      </c>
      <c r="D10" s="229">
        <v>43250</v>
      </c>
      <c r="E10" s="229" t="s">
        <v>640</v>
      </c>
      <c r="F10" s="228" t="s">
        <v>659</v>
      </c>
      <c r="G10" s="74"/>
    </row>
    <row r="11" spans="1:7" ht="29" x14ac:dyDescent="0.35">
      <c r="A11" s="81">
        <v>9</v>
      </c>
      <c r="B11" s="238" t="s">
        <v>672</v>
      </c>
      <c r="C11" s="235" t="s">
        <v>615</v>
      </c>
      <c r="D11" s="236">
        <v>43251</v>
      </c>
      <c r="E11" s="237" t="s">
        <v>671</v>
      </c>
      <c r="F11" s="235" t="s">
        <v>673</v>
      </c>
      <c r="G11" s="83" t="s">
        <v>269</v>
      </c>
    </row>
    <row r="12" spans="1:7" ht="43.5" x14ac:dyDescent="0.35">
      <c r="A12" s="69">
        <v>10</v>
      </c>
      <c r="B12" s="216" t="s">
        <v>663</v>
      </c>
      <c r="C12" s="70" t="s">
        <v>664</v>
      </c>
      <c r="D12" s="71">
        <v>43251</v>
      </c>
      <c r="E12" s="71" t="s">
        <v>665</v>
      </c>
      <c r="F12" s="70" t="s">
        <v>683</v>
      </c>
      <c r="G12" s="74" t="s">
        <v>269</v>
      </c>
    </row>
    <row r="13" spans="1:7" ht="43.5" x14ac:dyDescent="0.35">
      <c r="A13" s="84">
        <v>11</v>
      </c>
      <c r="B13" s="247" t="s">
        <v>666</v>
      </c>
      <c r="C13" s="245" t="s">
        <v>615</v>
      </c>
      <c r="D13" s="246">
        <v>43251</v>
      </c>
      <c r="E13" s="246" t="s">
        <v>667</v>
      </c>
      <c r="F13" s="245" t="s">
        <v>686</v>
      </c>
      <c r="G13" s="82" t="s">
        <v>269</v>
      </c>
    </row>
    <row r="14" spans="1:7" ht="43.5" x14ac:dyDescent="0.35">
      <c r="A14" s="69">
        <v>12</v>
      </c>
      <c r="B14" s="216" t="s">
        <v>687</v>
      </c>
      <c r="C14" s="70" t="s">
        <v>615</v>
      </c>
      <c r="D14" s="71">
        <v>43252</v>
      </c>
      <c r="E14" s="239" t="s">
        <v>667</v>
      </c>
      <c r="F14" s="73" t="s">
        <v>691</v>
      </c>
      <c r="G14" s="74" t="s">
        <v>269</v>
      </c>
    </row>
    <row r="15" spans="1:7" ht="159.5" x14ac:dyDescent="0.35">
      <c r="A15" s="84">
        <v>13</v>
      </c>
      <c r="B15" s="100" t="s">
        <v>692</v>
      </c>
      <c r="C15" s="231" t="s">
        <v>615</v>
      </c>
      <c r="D15" s="232">
        <v>43255</v>
      </c>
      <c r="E15" s="233" t="s">
        <v>453</v>
      </c>
      <c r="F15" s="231" t="s">
        <v>693</v>
      </c>
      <c r="G15" s="82"/>
    </row>
    <row r="16" spans="1:7" ht="43.5" x14ac:dyDescent="0.35">
      <c r="A16" s="69">
        <v>14</v>
      </c>
      <c r="B16" s="90" t="s">
        <v>695</v>
      </c>
      <c r="C16" s="91" t="s">
        <v>696</v>
      </c>
      <c r="D16" s="92">
        <v>43255</v>
      </c>
      <c r="E16" s="234" t="s">
        <v>697</v>
      </c>
      <c r="F16" s="91"/>
      <c r="G16" s="74"/>
    </row>
    <row r="17" spans="1:7" x14ac:dyDescent="0.35">
      <c r="A17" s="85">
        <v>15</v>
      </c>
      <c r="B17" s="87"/>
      <c r="C17" s="88"/>
      <c r="D17" s="89"/>
      <c r="E17" s="89"/>
      <c r="F17" s="88"/>
      <c r="G17" s="78"/>
    </row>
    <row r="18" spans="1:7" x14ac:dyDescent="0.35">
      <c r="A18" s="86">
        <v>16</v>
      </c>
      <c r="B18" s="90"/>
      <c r="C18" s="91"/>
      <c r="D18" s="92"/>
      <c r="E18" s="92"/>
      <c r="F18" s="91"/>
      <c r="G18" s="74"/>
    </row>
    <row r="19" spans="1:7" x14ac:dyDescent="0.35">
      <c r="A19" s="85">
        <v>17</v>
      </c>
      <c r="B19" s="87"/>
      <c r="C19" s="88"/>
      <c r="D19" s="89"/>
      <c r="E19" s="89"/>
      <c r="F19" s="88"/>
      <c r="G19" s="78"/>
    </row>
    <row r="20" spans="1:7" x14ac:dyDescent="0.35">
      <c r="A20" s="86">
        <v>18</v>
      </c>
      <c r="B20" s="90"/>
      <c r="C20" s="91"/>
      <c r="D20" s="92"/>
      <c r="E20" s="92"/>
      <c r="F20" s="91"/>
      <c r="G20" s="74"/>
    </row>
    <row r="21" spans="1:7" x14ac:dyDescent="0.35">
      <c r="A21" s="85">
        <v>19</v>
      </c>
      <c r="B21" s="87"/>
      <c r="C21" s="88"/>
      <c r="D21" s="89"/>
      <c r="E21" s="89"/>
      <c r="F21" s="88"/>
      <c r="G21" s="78"/>
    </row>
    <row r="22" spans="1:7" ht="15" thickBot="1" x14ac:dyDescent="0.4">
      <c r="A22" s="93">
        <v>20</v>
      </c>
      <c r="B22" s="94"/>
      <c r="C22" s="95"/>
      <c r="D22" s="96"/>
      <c r="E22" s="96"/>
      <c r="F22" s="95"/>
      <c r="G22" s="97"/>
    </row>
    <row r="24" spans="1:7" x14ac:dyDescent="0.35">
      <c r="B24" s="214"/>
      <c r="C24" s="214"/>
      <c r="D24" s="214"/>
      <c r="E24" s="214"/>
      <c r="F24" s="214"/>
      <c r="G24" s="214"/>
    </row>
  </sheetData>
  <mergeCells count="1">
    <mergeCell ref="A1:G1"/>
  </mergeCells>
  <conditionalFormatting sqref="G1:G22">
    <cfRule type="containsText" dxfId="98" priority="4" operator="containsText" text="Yes">
      <formula>NOT(ISERROR(SEARCH("Yes",G1)))</formula>
    </cfRule>
  </conditionalFormatting>
  <conditionalFormatting sqref="G3:G22">
    <cfRule type="containsText" dxfId="97" priority="2" operator="containsText" text="No">
      <formula>NOT(ISERROR(SEARCH("No",G3)))</formula>
    </cfRule>
    <cfRule type="containsText" dxfId="96" priority="3" operator="containsText" text="Yes">
      <formula>NOT(ISERROR(SEARCH("Yes",G3)))</formula>
    </cfRule>
  </conditionalFormatting>
  <conditionalFormatting sqref="B24:F24">
    <cfRule type="notContainsBlanks" dxfId="95" priority="1">
      <formula>LEN(TRIM(B24))&gt;0</formula>
    </cfRule>
  </conditionalFormatting>
  <dataValidations count="3">
    <dataValidation type="list" allowBlank="1" showInputMessage="1" showErrorMessage="1" sqref="G3:G22" xr:uid="{00000000-0002-0000-1100-000000000000}">
      <formula1>"Yes, No"</formula1>
    </dataValidation>
    <dataValidation type="list" allowBlank="1" showInputMessage="1" showErrorMessage="1" sqref="C3:C22" xr:uid="{00000000-0002-0000-1100-000001000000}">
      <formula1>"Client, Validation Team, UL, FD"</formula1>
    </dataValidation>
    <dataValidation type="list" allowBlank="1" showInputMessage="1" showErrorMessage="1" sqref="F24" xr:uid="{00000000-0002-0000-1100-000002000000}">
      <formula1>"Yes, No, NA"</formula1>
    </dataValidation>
  </dataValidation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D165"/>
  <sheetViews>
    <sheetView workbookViewId="0">
      <selection activeCell="B14" sqref="B14"/>
    </sheetView>
  </sheetViews>
  <sheetFormatPr defaultRowHeight="14.5" x14ac:dyDescent="0.35"/>
  <cols>
    <col min="1" max="1" width="20.453125" bestFit="1" customWidth="1"/>
    <col min="2" max="2" width="103.26953125" style="5" customWidth="1"/>
    <col min="3" max="3" width="35" bestFit="1" customWidth="1"/>
    <col min="4" max="4" width="12.453125" bestFit="1" customWidth="1"/>
  </cols>
  <sheetData>
    <row r="1" spans="1:4" ht="15" thickBot="1" x14ac:dyDescent="0.4">
      <c r="A1" s="260" t="s">
        <v>346</v>
      </c>
      <c r="B1" s="261"/>
      <c r="C1" s="261"/>
      <c r="D1" s="262"/>
    </row>
    <row r="2" spans="1:4" ht="15" thickBot="1" x14ac:dyDescent="0.4">
      <c r="A2" s="101" t="s">
        <v>347</v>
      </c>
      <c r="B2" s="102" t="s">
        <v>348</v>
      </c>
      <c r="C2" s="103" t="s">
        <v>343</v>
      </c>
      <c r="D2" s="103" t="s">
        <v>349</v>
      </c>
    </row>
    <row r="3" spans="1:4" x14ac:dyDescent="0.35">
      <c r="A3" s="254" t="s">
        <v>350</v>
      </c>
      <c r="B3" s="104" t="s">
        <v>351</v>
      </c>
      <c r="C3" s="105" t="s">
        <v>352</v>
      </c>
      <c r="D3" s="106" t="s">
        <v>3</v>
      </c>
    </row>
    <row r="4" spans="1:4" x14ac:dyDescent="0.35">
      <c r="A4" s="255"/>
      <c r="B4" s="104" t="s">
        <v>353</v>
      </c>
      <c r="C4" s="105" t="s">
        <v>354</v>
      </c>
      <c r="D4" s="107" t="s">
        <v>3</v>
      </c>
    </row>
    <row r="5" spans="1:4" x14ac:dyDescent="0.35">
      <c r="A5" s="255"/>
      <c r="B5" s="257" t="s">
        <v>355</v>
      </c>
      <c r="C5" s="105" t="s">
        <v>356</v>
      </c>
      <c r="D5" s="107" t="s">
        <v>3</v>
      </c>
    </row>
    <row r="6" spans="1:4" x14ac:dyDescent="0.35">
      <c r="A6" s="255"/>
      <c r="B6" s="258"/>
      <c r="C6" s="105" t="s">
        <v>357</v>
      </c>
      <c r="D6" s="107" t="s">
        <v>3</v>
      </c>
    </row>
    <row r="7" spans="1:4" x14ac:dyDescent="0.35">
      <c r="A7" s="255"/>
      <c r="B7" s="108" t="s">
        <v>358</v>
      </c>
      <c r="C7" s="105" t="s">
        <v>359</v>
      </c>
      <c r="D7" s="107" t="s">
        <v>3</v>
      </c>
    </row>
    <row r="8" spans="1:4" x14ac:dyDescent="0.35">
      <c r="A8" s="255"/>
      <c r="B8" s="257" t="s">
        <v>360</v>
      </c>
      <c r="C8" s="109" t="s">
        <v>361</v>
      </c>
      <c r="D8" s="107" t="s">
        <v>3</v>
      </c>
    </row>
    <row r="9" spans="1:4" x14ac:dyDescent="0.35">
      <c r="A9" s="255"/>
      <c r="B9" s="258"/>
      <c r="C9" s="105" t="s">
        <v>362</v>
      </c>
      <c r="D9" s="107" t="s">
        <v>3</v>
      </c>
    </row>
    <row r="10" spans="1:4" x14ac:dyDescent="0.35">
      <c r="A10" s="255"/>
      <c r="B10" s="104" t="s">
        <v>363</v>
      </c>
      <c r="C10" s="105" t="s">
        <v>364</v>
      </c>
      <c r="D10" s="107" t="s">
        <v>3</v>
      </c>
    </row>
    <row r="11" spans="1:4" x14ac:dyDescent="0.35">
      <c r="A11" s="255"/>
      <c r="B11" s="110" t="s">
        <v>365</v>
      </c>
      <c r="C11" s="111" t="s">
        <v>364</v>
      </c>
      <c r="D11" s="107" t="s">
        <v>3</v>
      </c>
    </row>
    <row r="12" spans="1:4" x14ac:dyDescent="0.35">
      <c r="A12" s="255"/>
      <c r="B12" s="110" t="s">
        <v>366</v>
      </c>
      <c r="C12" s="111" t="s">
        <v>364</v>
      </c>
      <c r="D12" s="107" t="s">
        <v>3</v>
      </c>
    </row>
    <row r="13" spans="1:4" ht="72.5" x14ac:dyDescent="0.35">
      <c r="A13" s="255"/>
      <c r="B13" s="110" t="s">
        <v>367</v>
      </c>
      <c r="C13" s="111" t="s">
        <v>364</v>
      </c>
      <c r="D13" s="107" t="s">
        <v>3</v>
      </c>
    </row>
    <row r="14" spans="1:4" ht="87" x14ac:dyDescent="0.35">
      <c r="A14" s="255"/>
      <c r="B14" s="110" t="s">
        <v>368</v>
      </c>
      <c r="C14" s="111" t="s">
        <v>364</v>
      </c>
      <c r="D14" s="107" t="s">
        <v>3</v>
      </c>
    </row>
    <row r="15" spans="1:4" ht="29" x14ac:dyDescent="0.35">
      <c r="A15" s="255"/>
      <c r="B15" s="110" t="s">
        <v>369</v>
      </c>
      <c r="C15" s="111" t="s">
        <v>364</v>
      </c>
      <c r="D15" s="107" t="s">
        <v>3</v>
      </c>
    </row>
    <row r="16" spans="1:4" ht="15" thickBot="1" x14ac:dyDescent="0.4">
      <c r="A16" s="256"/>
      <c r="B16" s="108" t="s">
        <v>370</v>
      </c>
      <c r="C16" s="112" t="s">
        <v>364</v>
      </c>
      <c r="D16" s="113" t="s">
        <v>3</v>
      </c>
    </row>
    <row r="17" spans="1:4" ht="15" thickBot="1" x14ac:dyDescent="0.4">
      <c r="A17" s="263"/>
      <c r="B17" s="264"/>
      <c r="C17" s="264"/>
      <c r="D17" s="265"/>
    </row>
    <row r="18" spans="1:4" x14ac:dyDescent="0.35">
      <c r="A18" s="254" t="s">
        <v>371</v>
      </c>
      <c r="B18" s="266" t="s">
        <v>372</v>
      </c>
      <c r="C18" s="105" t="s">
        <v>373</v>
      </c>
      <c r="D18" s="106" t="s">
        <v>3</v>
      </c>
    </row>
    <row r="19" spans="1:4" x14ac:dyDescent="0.35">
      <c r="A19" s="255"/>
      <c r="B19" s="258"/>
      <c r="C19" s="109" t="s">
        <v>374</v>
      </c>
      <c r="D19" s="107" t="s">
        <v>3</v>
      </c>
    </row>
    <row r="20" spans="1:4" ht="72.5" x14ac:dyDescent="0.35">
      <c r="A20" s="255"/>
      <c r="B20" s="110" t="s">
        <v>367</v>
      </c>
      <c r="C20" s="114" t="s">
        <v>364</v>
      </c>
      <c r="D20" s="115" t="s">
        <v>3</v>
      </c>
    </row>
    <row r="21" spans="1:4" ht="87" x14ac:dyDescent="0.35">
      <c r="A21" s="255"/>
      <c r="B21" s="110" t="s">
        <v>368</v>
      </c>
      <c r="C21" s="111" t="s">
        <v>364</v>
      </c>
      <c r="D21" s="107" t="s">
        <v>3</v>
      </c>
    </row>
    <row r="22" spans="1:4" x14ac:dyDescent="0.35">
      <c r="A22" s="255"/>
      <c r="B22" s="110" t="s">
        <v>365</v>
      </c>
      <c r="C22" s="111" t="s">
        <v>364</v>
      </c>
      <c r="D22" s="107" t="s">
        <v>3</v>
      </c>
    </row>
    <row r="23" spans="1:4" x14ac:dyDescent="0.35">
      <c r="A23" s="255"/>
      <c r="B23" s="110" t="s">
        <v>366</v>
      </c>
      <c r="C23" s="111" t="s">
        <v>364</v>
      </c>
      <c r="D23" s="107" t="s">
        <v>3</v>
      </c>
    </row>
    <row r="24" spans="1:4" ht="29" x14ac:dyDescent="0.35">
      <c r="A24" s="255"/>
      <c r="B24" s="110" t="s">
        <v>369</v>
      </c>
      <c r="C24" s="111" t="s">
        <v>364</v>
      </c>
      <c r="D24" s="107" t="s">
        <v>3</v>
      </c>
    </row>
    <row r="25" spans="1:4" x14ac:dyDescent="0.35">
      <c r="A25" s="255"/>
      <c r="B25" s="110" t="s">
        <v>375</v>
      </c>
      <c r="C25" s="114" t="s">
        <v>364</v>
      </c>
      <c r="D25" s="115" t="s">
        <v>3</v>
      </c>
    </row>
    <row r="26" spans="1:4" ht="15" thickBot="1" x14ac:dyDescent="0.4">
      <c r="A26" s="256"/>
      <c r="B26" s="108" t="s">
        <v>376</v>
      </c>
      <c r="C26" s="114" t="s">
        <v>364</v>
      </c>
      <c r="D26" s="115" t="s">
        <v>3</v>
      </c>
    </row>
    <row r="27" spans="1:4" ht="15" thickBot="1" x14ac:dyDescent="0.4">
      <c r="A27" s="263"/>
      <c r="B27" s="264"/>
      <c r="C27" s="264"/>
      <c r="D27" s="265"/>
    </row>
    <row r="28" spans="1:4" x14ac:dyDescent="0.35">
      <c r="A28" s="254" t="s">
        <v>377</v>
      </c>
      <c r="B28" s="116" t="s">
        <v>378</v>
      </c>
      <c r="C28" s="117" t="s">
        <v>8</v>
      </c>
      <c r="D28" s="117" t="s">
        <v>3</v>
      </c>
    </row>
    <row r="29" spans="1:4" x14ac:dyDescent="0.35">
      <c r="A29" s="255"/>
      <c r="B29" s="118" t="s">
        <v>379</v>
      </c>
      <c r="C29" s="106" t="s">
        <v>35</v>
      </c>
      <c r="D29" s="106" t="s">
        <v>3</v>
      </c>
    </row>
    <row r="30" spans="1:4" x14ac:dyDescent="0.35">
      <c r="A30" s="255"/>
      <c r="B30" s="118" t="s">
        <v>380</v>
      </c>
      <c r="C30" s="106" t="s">
        <v>381</v>
      </c>
      <c r="D30" s="106" t="s">
        <v>3</v>
      </c>
    </row>
    <row r="31" spans="1:4" x14ac:dyDescent="0.35">
      <c r="A31" s="255"/>
      <c r="B31" s="257" t="s">
        <v>382</v>
      </c>
      <c r="C31" s="106" t="s">
        <v>15</v>
      </c>
      <c r="D31" s="106" t="s">
        <v>3</v>
      </c>
    </row>
    <row r="32" spans="1:4" x14ac:dyDescent="0.35">
      <c r="A32" s="255"/>
      <c r="B32" s="259"/>
      <c r="C32" s="106" t="s">
        <v>27</v>
      </c>
      <c r="D32" s="106" t="s">
        <v>3</v>
      </c>
    </row>
    <row r="33" spans="1:4" x14ac:dyDescent="0.35">
      <c r="A33" s="255"/>
      <c r="B33" s="259"/>
      <c r="C33" s="106" t="s">
        <v>31</v>
      </c>
      <c r="D33" s="106" t="s">
        <v>3</v>
      </c>
    </row>
    <row r="34" spans="1:4" x14ac:dyDescent="0.35">
      <c r="A34" s="255"/>
      <c r="B34" s="259"/>
      <c r="C34" s="106" t="s">
        <v>32</v>
      </c>
      <c r="D34" s="106" t="s">
        <v>3</v>
      </c>
    </row>
    <row r="35" spans="1:4" x14ac:dyDescent="0.35">
      <c r="A35" s="255"/>
      <c r="B35" s="258"/>
      <c r="C35" s="106" t="s">
        <v>33</v>
      </c>
      <c r="D35" s="106" t="s">
        <v>3</v>
      </c>
    </row>
    <row r="36" spans="1:4" x14ac:dyDescent="0.35">
      <c r="A36" s="255"/>
      <c r="B36" s="118" t="s">
        <v>383</v>
      </c>
      <c r="C36" s="106" t="s">
        <v>24</v>
      </c>
      <c r="D36" s="106" t="s">
        <v>3</v>
      </c>
    </row>
    <row r="37" spans="1:4" x14ac:dyDescent="0.35">
      <c r="A37" s="255"/>
      <c r="B37" s="118" t="s">
        <v>358</v>
      </c>
      <c r="C37" s="107" t="s">
        <v>384</v>
      </c>
      <c r="D37" s="106" t="s">
        <v>3</v>
      </c>
    </row>
    <row r="38" spans="1:4" x14ac:dyDescent="0.35">
      <c r="A38" s="255"/>
      <c r="B38" s="118" t="s">
        <v>385</v>
      </c>
      <c r="C38" s="107" t="s">
        <v>36</v>
      </c>
      <c r="D38" s="106" t="s">
        <v>3</v>
      </c>
    </row>
    <row r="39" spans="1:4" x14ac:dyDescent="0.35">
      <c r="A39" s="255"/>
      <c r="B39" s="257" t="s">
        <v>386</v>
      </c>
      <c r="C39" s="107" t="s">
        <v>384</v>
      </c>
      <c r="D39" s="106" t="s">
        <v>3</v>
      </c>
    </row>
    <row r="40" spans="1:4" x14ac:dyDescent="0.35">
      <c r="A40" s="255"/>
      <c r="B40" s="258"/>
      <c r="C40" s="113" t="s">
        <v>36</v>
      </c>
      <c r="D40" s="106" t="s">
        <v>3</v>
      </c>
    </row>
    <row r="41" spans="1:4" ht="43.5" x14ac:dyDescent="0.35">
      <c r="A41" s="255"/>
      <c r="B41" s="118" t="s">
        <v>387</v>
      </c>
      <c r="C41" s="107" t="s">
        <v>364</v>
      </c>
      <c r="D41" s="106" t="s">
        <v>3</v>
      </c>
    </row>
    <row r="42" spans="1:4" ht="159.5" x14ac:dyDescent="0.35">
      <c r="A42" s="255"/>
      <c r="B42" s="119" t="s">
        <v>388</v>
      </c>
      <c r="C42" s="107" t="s">
        <v>364</v>
      </c>
      <c r="D42" s="106" t="s">
        <v>3</v>
      </c>
    </row>
    <row r="43" spans="1:4" ht="43.5" x14ac:dyDescent="0.35">
      <c r="A43" s="255"/>
      <c r="B43" s="120" t="s">
        <v>389</v>
      </c>
      <c r="C43" s="106" t="s">
        <v>364</v>
      </c>
      <c r="D43" s="106" t="s">
        <v>3</v>
      </c>
    </row>
    <row r="44" spans="1:4" ht="72.5" x14ac:dyDescent="0.35">
      <c r="A44" s="255"/>
      <c r="B44" s="110" t="s">
        <v>367</v>
      </c>
      <c r="C44" s="106" t="s">
        <v>364</v>
      </c>
      <c r="D44" s="106" t="s">
        <v>3</v>
      </c>
    </row>
    <row r="45" spans="1:4" ht="87" x14ac:dyDescent="0.35">
      <c r="A45" s="255"/>
      <c r="B45" s="110" t="s">
        <v>368</v>
      </c>
      <c r="C45" s="111" t="s">
        <v>364</v>
      </c>
      <c r="D45" s="107" t="s">
        <v>3</v>
      </c>
    </row>
    <row r="46" spans="1:4" x14ac:dyDescent="0.35">
      <c r="A46" s="255"/>
      <c r="B46" s="120" t="s">
        <v>390</v>
      </c>
      <c r="C46" s="106" t="s">
        <v>364</v>
      </c>
      <c r="D46" s="106" t="s">
        <v>3</v>
      </c>
    </row>
    <row r="47" spans="1:4" x14ac:dyDescent="0.35">
      <c r="A47" s="255"/>
      <c r="B47" s="120" t="s">
        <v>391</v>
      </c>
      <c r="C47" s="106" t="s">
        <v>364</v>
      </c>
      <c r="D47" s="106" t="s">
        <v>3</v>
      </c>
    </row>
    <row r="48" spans="1:4" x14ac:dyDescent="0.35">
      <c r="A48" s="255"/>
      <c r="B48" s="120" t="s">
        <v>392</v>
      </c>
      <c r="C48" s="106" t="s">
        <v>364</v>
      </c>
      <c r="D48" s="106" t="s">
        <v>3</v>
      </c>
    </row>
    <row r="49" spans="1:4" x14ac:dyDescent="0.35">
      <c r="A49" s="255"/>
      <c r="B49" s="120" t="s">
        <v>366</v>
      </c>
      <c r="C49" s="106" t="s">
        <v>364</v>
      </c>
      <c r="D49" s="106" t="s">
        <v>3</v>
      </c>
    </row>
    <row r="50" spans="1:4" ht="15" thickBot="1" x14ac:dyDescent="0.4">
      <c r="A50" s="256"/>
      <c r="B50" s="121" t="s">
        <v>375</v>
      </c>
      <c r="C50" s="122" t="s">
        <v>364</v>
      </c>
      <c r="D50" s="123" t="s">
        <v>3</v>
      </c>
    </row>
    <row r="51" spans="1:4" ht="15" thickBot="1" x14ac:dyDescent="0.4">
      <c r="A51" s="263"/>
      <c r="B51" s="264"/>
      <c r="C51" s="264"/>
      <c r="D51" s="265"/>
    </row>
    <row r="52" spans="1:4" x14ac:dyDescent="0.35">
      <c r="A52" s="254" t="s">
        <v>393</v>
      </c>
      <c r="B52" s="124" t="s">
        <v>394</v>
      </c>
      <c r="C52" s="117"/>
      <c r="D52" s="117" t="s">
        <v>3</v>
      </c>
    </row>
    <row r="53" spans="1:4" x14ac:dyDescent="0.35">
      <c r="A53" s="255"/>
      <c r="B53" s="125" t="s">
        <v>395</v>
      </c>
      <c r="C53" s="113" t="s">
        <v>187</v>
      </c>
      <c r="D53" s="113" t="s">
        <v>3</v>
      </c>
    </row>
    <row r="54" spans="1:4" x14ac:dyDescent="0.35">
      <c r="A54" s="255"/>
      <c r="B54" s="257" t="s">
        <v>396</v>
      </c>
      <c r="C54" s="126" t="s">
        <v>185</v>
      </c>
      <c r="D54" s="107" t="s">
        <v>3</v>
      </c>
    </row>
    <row r="55" spans="1:4" x14ac:dyDescent="0.35">
      <c r="A55" s="255"/>
      <c r="B55" s="258"/>
      <c r="C55" s="126" t="s">
        <v>189</v>
      </c>
      <c r="D55" s="107" t="s">
        <v>3</v>
      </c>
    </row>
    <row r="56" spans="1:4" x14ac:dyDescent="0.35">
      <c r="A56" s="255"/>
      <c r="B56" s="257" t="s">
        <v>397</v>
      </c>
      <c r="C56" s="126" t="s">
        <v>190</v>
      </c>
      <c r="D56" s="107" t="s">
        <v>3</v>
      </c>
    </row>
    <row r="57" spans="1:4" x14ac:dyDescent="0.35">
      <c r="A57" s="255"/>
      <c r="B57" s="259"/>
      <c r="C57" s="126" t="s">
        <v>191</v>
      </c>
      <c r="D57" s="107" t="s">
        <v>3</v>
      </c>
    </row>
    <row r="58" spans="1:4" x14ac:dyDescent="0.35">
      <c r="A58" s="255"/>
      <c r="B58" s="259"/>
      <c r="C58" s="126" t="s">
        <v>192</v>
      </c>
      <c r="D58" s="107" t="s">
        <v>3</v>
      </c>
    </row>
    <row r="59" spans="1:4" x14ac:dyDescent="0.35">
      <c r="A59" s="255"/>
      <c r="B59" s="258"/>
      <c r="C59" s="126" t="s">
        <v>194</v>
      </c>
      <c r="D59" s="107" t="s">
        <v>3</v>
      </c>
    </row>
    <row r="60" spans="1:4" x14ac:dyDescent="0.35">
      <c r="A60" s="255"/>
      <c r="B60" s="120" t="s">
        <v>398</v>
      </c>
      <c r="C60" s="126" t="s">
        <v>198</v>
      </c>
      <c r="D60" s="107" t="s">
        <v>3</v>
      </c>
    </row>
    <row r="61" spans="1:4" x14ac:dyDescent="0.35">
      <c r="A61" s="255"/>
      <c r="B61" s="127" t="s">
        <v>399</v>
      </c>
      <c r="C61" s="126" t="s">
        <v>364</v>
      </c>
      <c r="D61" s="107" t="s">
        <v>3</v>
      </c>
    </row>
    <row r="62" spans="1:4" ht="43.5" x14ac:dyDescent="0.35">
      <c r="A62" s="255"/>
      <c r="B62" s="118" t="s">
        <v>387</v>
      </c>
      <c r="C62" s="113" t="s">
        <v>364</v>
      </c>
      <c r="D62" s="106" t="s">
        <v>3</v>
      </c>
    </row>
    <row r="63" spans="1:4" ht="159.5" x14ac:dyDescent="0.35">
      <c r="A63" s="255"/>
      <c r="B63" s="119" t="s">
        <v>400</v>
      </c>
      <c r="C63" s="107" t="s">
        <v>364</v>
      </c>
      <c r="D63" s="106" t="s">
        <v>3</v>
      </c>
    </row>
    <row r="64" spans="1:4" ht="43.5" x14ac:dyDescent="0.35">
      <c r="A64" s="255"/>
      <c r="B64" s="120" t="s">
        <v>389</v>
      </c>
      <c r="C64" s="106" t="s">
        <v>364</v>
      </c>
      <c r="D64" s="106" t="s">
        <v>3</v>
      </c>
    </row>
    <row r="65" spans="1:4" ht="72.5" x14ac:dyDescent="0.35">
      <c r="A65" s="255"/>
      <c r="B65" s="110" t="s">
        <v>367</v>
      </c>
      <c r="C65" s="106" t="s">
        <v>364</v>
      </c>
      <c r="D65" s="106" t="s">
        <v>3</v>
      </c>
    </row>
    <row r="66" spans="1:4" ht="87" x14ac:dyDescent="0.35">
      <c r="A66" s="255"/>
      <c r="B66" s="110" t="s">
        <v>368</v>
      </c>
      <c r="C66" s="111" t="s">
        <v>364</v>
      </c>
      <c r="D66" s="107" t="s">
        <v>3</v>
      </c>
    </row>
    <row r="67" spans="1:4" x14ac:dyDescent="0.35">
      <c r="A67" s="255"/>
      <c r="B67" s="120" t="s">
        <v>401</v>
      </c>
      <c r="C67" s="106" t="s">
        <v>364</v>
      </c>
      <c r="D67" s="106" t="s">
        <v>3</v>
      </c>
    </row>
    <row r="68" spans="1:4" x14ac:dyDescent="0.35">
      <c r="A68" s="255"/>
      <c r="B68" s="108" t="s">
        <v>402</v>
      </c>
      <c r="C68" s="106" t="s">
        <v>364</v>
      </c>
      <c r="D68" s="106" t="s">
        <v>3</v>
      </c>
    </row>
    <row r="69" spans="1:4" x14ac:dyDescent="0.35">
      <c r="A69" s="255"/>
      <c r="B69" s="120" t="s">
        <v>392</v>
      </c>
      <c r="C69" s="106" t="s">
        <v>364</v>
      </c>
      <c r="D69" s="106" t="s">
        <v>3</v>
      </c>
    </row>
    <row r="70" spans="1:4" x14ac:dyDescent="0.35">
      <c r="A70" s="255"/>
      <c r="B70" s="120" t="s">
        <v>366</v>
      </c>
      <c r="C70" s="106" t="s">
        <v>364</v>
      </c>
      <c r="D70" s="106" t="s">
        <v>3</v>
      </c>
    </row>
    <row r="71" spans="1:4" ht="15" thickBot="1" x14ac:dyDescent="0.4">
      <c r="A71" s="256"/>
      <c r="B71" s="119" t="s">
        <v>375</v>
      </c>
      <c r="C71" s="122" t="s">
        <v>364</v>
      </c>
      <c r="D71" s="113" t="s">
        <v>3</v>
      </c>
    </row>
    <row r="72" spans="1:4" ht="15" thickBot="1" x14ac:dyDescent="0.4">
      <c r="A72" s="263"/>
      <c r="B72" s="264"/>
      <c r="C72" s="264"/>
      <c r="D72" s="265"/>
    </row>
    <row r="73" spans="1:4" x14ac:dyDescent="0.35">
      <c r="A73" s="254" t="s">
        <v>403</v>
      </c>
      <c r="B73" s="266" t="s">
        <v>404</v>
      </c>
      <c r="C73" s="106" t="s">
        <v>405</v>
      </c>
      <c r="D73" s="106" t="s">
        <v>3</v>
      </c>
    </row>
    <row r="74" spans="1:4" x14ac:dyDescent="0.35">
      <c r="A74" s="255"/>
      <c r="B74" s="259"/>
      <c r="C74" s="107" t="s">
        <v>406</v>
      </c>
      <c r="D74" s="107" t="s">
        <v>3</v>
      </c>
    </row>
    <row r="75" spans="1:4" x14ac:dyDescent="0.35">
      <c r="A75" s="255"/>
      <c r="B75" s="258"/>
      <c r="C75" s="107" t="s">
        <v>407</v>
      </c>
      <c r="D75" s="107" t="s">
        <v>3</v>
      </c>
    </row>
    <row r="76" spans="1:4" x14ac:dyDescent="0.35">
      <c r="A76" s="255"/>
      <c r="B76" s="127" t="s">
        <v>408</v>
      </c>
      <c r="C76" s="107" t="s">
        <v>409</v>
      </c>
      <c r="D76" s="107" t="s">
        <v>3</v>
      </c>
    </row>
    <row r="77" spans="1:4" x14ac:dyDescent="0.35">
      <c r="A77" s="255"/>
      <c r="B77" s="257" t="s">
        <v>410</v>
      </c>
      <c r="C77" s="107" t="s">
        <v>411</v>
      </c>
      <c r="D77" s="107" t="s">
        <v>3</v>
      </c>
    </row>
    <row r="78" spans="1:4" x14ac:dyDescent="0.35">
      <c r="A78" s="255"/>
      <c r="B78" s="258"/>
      <c r="C78" s="107" t="s">
        <v>405</v>
      </c>
      <c r="D78" s="107" t="s">
        <v>3</v>
      </c>
    </row>
    <row r="79" spans="1:4" x14ac:dyDescent="0.35">
      <c r="A79" s="255"/>
      <c r="B79" s="118" t="s">
        <v>412</v>
      </c>
      <c r="C79" s="107" t="s">
        <v>413</v>
      </c>
      <c r="D79" s="107" t="s">
        <v>3</v>
      </c>
    </row>
    <row r="80" spans="1:4" x14ac:dyDescent="0.35">
      <c r="A80" s="255"/>
      <c r="B80" s="257" t="s">
        <v>414</v>
      </c>
      <c r="C80" s="107" t="s">
        <v>415</v>
      </c>
      <c r="D80" s="107" t="s">
        <v>3</v>
      </c>
    </row>
    <row r="81" spans="1:4" x14ac:dyDescent="0.35">
      <c r="A81" s="255"/>
      <c r="B81" s="259"/>
      <c r="C81" s="107" t="s">
        <v>416</v>
      </c>
      <c r="D81" s="107" t="s">
        <v>3</v>
      </c>
    </row>
    <row r="82" spans="1:4" x14ac:dyDescent="0.35">
      <c r="A82" s="255"/>
      <c r="B82" s="259"/>
      <c r="C82" s="107" t="s">
        <v>417</v>
      </c>
      <c r="D82" s="107" t="s">
        <v>3</v>
      </c>
    </row>
    <row r="83" spans="1:4" x14ac:dyDescent="0.35">
      <c r="A83" s="255"/>
      <c r="B83" s="258"/>
      <c r="C83" s="107" t="s">
        <v>407</v>
      </c>
      <c r="D83" s="107" t="s">
        <v>3</v>
      </c>
    </row>
    <row r="84" spans="1:4" x14ac:dyDescent="0.35">
      <c r="A84" s="255"/>
      <c r="B84" s="257" t="s">
        <v>378</v>
      </c>
      <c r="C84" s="128" t="s">
        <v>418</v>
      </c>
      <c r="D84" s="107" t="s">
        <v>3</v>
      </c>
    </row>
    <row r="85" spans="1:4" x14ac:dyDescent="0.35">
      <c r="A85" s="255"/>
      <c r="B85" s="258"/>
      <c r="C85" s="107" t="s">
        <v>419</v>
      </c>
      <c r="D85" s="107" t="s">
        <v>3</v>
      </c>
    </row>
    <row r="86" spans="1:4" x14ac:dyDescent="0.35">
      <c r="A86" s="255"/>
      <c r="B86" s="118" t="s">
        <v>420</v>
      </c>
      <c r="C86" s="107" t="s">
        <v>419</v>
      </c>
      <c r="D86" s="107" t="s">
        <v>3</v>
      </c>
    </row>
    <row r="87" spans="1:4" ht="29" x14ac:dyDescent="0.35">
      <c r="A87" s="255"/>
      <c r="B87" s="118" t="s">
        <v>386</v>
      </c>
      <c r="C87" s="107" t="s">
        <v>421</v>
      </c>
      <c r="D87" s="107" t="s">
        <v>3</v>
      </c>
    </row>
    <row r="88" spans="1:4" x14ac:dyDescent="0.35">
      <c r="A88" s="255"/>
      <c r="B88" s="118" t="s">
        <v>422</v>
      </c>
      <c r="C88" s="107" t="s">
        <v>364</v>
      </c>
      <c r="D88" s="107" t="s">
        <v>3</v>
      </c>
    </row>
    <row r="89" spans="1:4" ht="29" x14ac:dyDescent="0.35">
      <c r="A89" s="255"/>
      <c r="B89" s="118" t="s">
        <v>423</v>
      </c>
      <c r="C89" s="107" t="s">
        <v>364</v>
      </c>
      <c r="D89" s="107" t="s">
        <v>3</v>
      </c>
    </row>
    <row r="90" spans="1:4" ht="174" x14ac:dyDescent="0.35">
      <c r="A90" s="255"/>
      <c r="B90" s="119" t="s">
        <v>424</v>
      </c>
      <c r="C90" s="115" t="s">
        <v>364</v>
      </c>
      <c r="D90" s="107" t="s">
        <v>3</v>
      </c>
    </row>
    <row r="91" spans="1:4" ht="29" x14ac:dyDescent="0.35">
      <c r="A91" s="255"/>
      <c r="B91" s="129" t="s">
        <v>425</v>
      </c>
      <c r="C91" s="126" t="s">
        <v>364</v>
      </c>
      <c r="D91" s="128" t="s">
        <v>3</v>
      </c>
    </row>
    <row r="92" spans="1:4" x14ac:dyDescent="0.35">
      <c r="A92" s="255"/>
      <c r="B92" s="127" t="s">
        <v>426</v>
      </c>
      <c r="C92" s="130" t="s">
        <v>364</v>
      </c>
      <c r="D92" s="126" t="s">
        <v>3</v>
      </c>
    </row>
    <row r="93" spans="1:4" ht="72.5" x14ac:dyDescent="0.35">
      <c r="A93" s="255"/>
      <c r="B93" s="110" t="s">
        <v>367</v>
      </c>
      <c r="C93" s="106" t="s">
        <v>364</v>
      </c>
      <c r="D93" s="106" t="s">
        <v>3</v>
      </c>
    </row>
    <row r="94" spans="1:4" ht="87" x14ac:dyDescent="0.35">
      <c r="A94" s="255"/>
      <c r="B94" s="110" t="s">
        <v>368</v>
      </c>
      <c r="C94" s="111" t="s">
        <v>364</v>
      </c>
      <c r="D94" s="107" t="s">
        <v>3</v>
      </c>
    </row>
    <row r="95" spans="1:4" x14ac:dyDescent="0.35">
      <c r="A95" s="255"/>
      <c r="B95" s="127" t="s">
        <v>427</v>
      </c>
      <c r="C95" s="131" t="s">
        <v>364</v>
      </c>
      <c r="D95" s="126" t="s">
        <v>3</v>
      </c>
    </row>
    <row r="96" spans="1:4" x14ac:dyDescent="0.35">
      <c r="A96" s="255"/>
      <c r="B96" s="127" t="s">
        <v>428</v>
      </c>
      <c r="C96" s="131" t="s">
        <v>364</v>
      </c>
      <c r="D96" s="126" t="s">
        <v>3</v>
      </c>
    </row>
    <row r="97" spans="1:4" x14ac:dyDescent="0.35">
      <c r="A97" s="255"/>
      <c r="B97" s="132" t="s">
        <v>429</v>
      </c>
      <c r="C97" s="131" t="s">
        <v>364</v>
      </c>
      <c r="D97" s="126" t="s">
        <v>3</v>
      </c>
    </row>
    <row r="98" spans="1:4" ht="29" x14ac:dyDescent="0.35">
      <c r="A98" s="255"/>
      <c r="B98" s="132" t="s">
        <v>430</v>
      </c>
      <c r="C98" s="131" t="s">
        <v>364</v>
      </c>
      <c r="D98" s="126" t="s">
        <v>3</v>
      </c>
    </row>
    <row r="99" spans="1:4" x14ac:dyDescent="0.35">
      <c r="A99" s="255"/>
      <c r="B99" s="127" t="s">
        <v>431</v>
      </c>
      <c r="C99" s="131" t="s">
        <v>364</v>
      </c>
      <c r="D99" s="126" t="s">
        <v>3</v>
      </c>
    </row>
    <row r="100" spans="1:4" ht="15" thickBot="1" x14ac:dyDescent="0.4">
      <c r="A100" s="256"/>
      <c r="B100" s="119" t="s">
        <v>375</v>
      </c>
      <c r="C100" s="122" t="s">
        <v>364</v>
      </c>
      <c r="D100" s="122" t="s">
        <v>3</v>
      </c>
    </row>
    <row r="101" spans="1:4" ht="15" thickBot="1" x14ac:dyDescent="0.4">
      <c r="A101" s="263"/>
      <c r="B101" s="264"/>
      <c r="C101" s="264"/>
      <c r="D101" s="265"/>
    </row>
    <row r="102" spans="1:4" ht="29" x14ac:dyDescent="0.35">
      <c r="A102" s="254" t="s">
        <v>432</v>
      </c>
      <c r="B102" s="116" t="s">
        <v>386</v>
      </c>
      <c r="C102" s="117" t="s">
        <v>421</v>
      </c>
      <c r="D102" s="117" t="s">
        <v>3</v>
      </c>
    </row>
    <row r="103" spans="1:4" x14ac:dyDescent="0.35">
      <c r="A103" s="255"/>
      <c r="B103" s="120" t="s">
        <v>433</v>
      </c>
      <c r="C103" s="107" t="s">
        <v>434</v>
      </c>
      <c r="D103" s="106" t="s">
        <v>3</v>
      </c>
    </row>
    <row r="104" spans="1:4" ht="29" x14ac:dyDescent="0.35">
      <c r="A104" s="255"/>
      <c r="B104" s="133" t="s">
        <v>435</v>
      </c>
      <c r="C104" s="106" t="s">
        <v>364</v>
      </c>
      <c r="D104" s="106" t="s">
        <v>3</v>
      </c>
    </row>
    <row r="105" spans="1:4" x14ac:dyDescent="0.35">
      <c r="A105" s="255"/>
      <c r="B105" s="127" t="s">
        <v>436</v>
      </c>
      <c r="C105" s="107" t="s">
        <v>364</v>
      </c>
      <c r="D105" s="107" t="s">
        <v>3</v>
      </c>
    </row>
    <row r="106" spans="1:4" ht="29" x14ac:dyDescent="0.35">
      <c r="A106" s="255"/>
      <c r="B106" s="118" t="s">
        <v>423</v>
      </c>
      <c r="C106" s="107" t="s">
        <v>364</v>
      </c>
      <c r="D106" s="107" t="s">
        <v>3</v>
      </c>
    </row>
    <row r="107" spans="1:4" ht="174" x14ac:dyDescent="0.35">
      <c r="A107" s="255"/>
      <c r="B107" s="119" t="s">
        <v>437</v>
      </c>
      <c r="C107" s="115" t="s">
        <v>364</v>
      </c>
      <c r="D107" s="107" t="s">
        <v>3</v>
      </c>
    </row>
    <row r="108" spans="1:4" ht="29" x14ac:dyDescent="0.35">
      <c r="A108" s="255"/>
      <c r="B108" s="129" t="s">
        <v>425</v>
      </c>
      <c r="C108" s="126" t="s">
        <v>364</v>
      </c>
      <c r="D108" s="128" t="s">
        <v>3</v>
      </c>
    </row>
    <row r="109" spans="1:4" x14ac:dyDescent="0.35">
      <c r="A109" s="255"/>
      <c r="B109" s="127" t="s">
        <v>426</v>
      </c>
      <c r="C109" s="134" t="s">
        <v>364</v>
      </c>
      <c r="D109" s="126" t="s">
        <v>3</v>
      </c>
    </row>
    <row r="110" spans="1:4" x14ac:dyDescent="0.35">
      <c r="A110" s="255"/>
      <c r="B110" s="127" t="s">
        <v>427</v>
      </c>
      <c r="C110" s="126" t="s">
        <v>364</v>
      </c>
      <c r="D110" s="126" t="s">
        <v>3</v>
      </c>
    </row>
    <row r="111" spans="1:4" x14ac:dyDescent="0.35">
      <c r="A111" s="255"/>
      <c r="B111" s="127" t="s">
        <v>438</v>
      </c>
      <c r="C111" s="126" t="s">
        <v>364</v>
      </c>
      <c r="D111" s="126" t="s">
        <v>3</v>
      </c>
    </row>
    <row r="112" spans="1:4" ht="72.5" x14ac:dyDescent="0.35">
      <c r="A112" s="255"/>
      <c r="B112" s="120" t="s">
        <v>367</v>
      </c>
      <c r="C112" s="106" t="s">
        <v>364</v>
      </c>
      <c r="D112" s="106" t="s">
        <v>3</v>
      </c>
    </row>
    <row r="113" spans="1:4" ht="87" x14ac:dyDescent="0.35">
      <c r="A113" s="255"/>
      <c r="B113" s="120" t="s">
        <v>368</v>
      </c>
      <c r="C113" s="126" t="s">
        <v>364</v>
      </c>
      <c r="D113" s="107" t="s">
        <v>3</v>
      </c>
    </row>
    <row r="114" spans="1:4" x14ac:dyDescent="0.35">
      <c r="A114" s="255"/>
      <c r="B114" s="127" t="s">
        <v>428</v>
      </c>
      <c r="C114" s="126" t="s">
        <v>364</v>
      </c>
      <c r="D114" s="126" t="s">
        <v>3</v>
      </c>
    </row>
    <row r="115" spans="1:4" ht="29" x14ac:dyDescent="0.35">
      <c r="A115" s="255"/>
      <c r="B115" s="127" t="s">
        <v>439</v>
      </c>
      <c r="C115" s="126" t="s">
        <v>364</v>
      </c>
      <c r="D115" s="126" t="s">
        <v>3</v>
      </c>
    </row>
    <row r="116" spans="1:4" x14ac:dyDescent="0.35">
      <c r="A116" s="255"/>
      <c r="B116" s="127" t="s">
        <v>440</v>
      </c>
      <c r="C116" s="126" t="s">
        <v>364</v>
      </c>
      <c r="D116" s="126" t="s">
        <v>3</v>
      </c>
    </row>
    <row r="117" spans="1:4" x14ac:dyDescent="0.35">
      <c r="A117" s="255"/>
      <c r="B117" s="119" t="s">
        <v>375</v>
      </c>
      <c r="C117" s="107" t="s">
        <v>364</v>
      </c>
      <c r="D117" s="107" t="s">
        <v>3</v>
      </c>
    </row>
    <row r="118" spans="1:4" x14ac:dyDescent="0.35">
      <c r="A118" s="255"/>
      <c r="B118" s="127" t="s">
        <v>431</v>
      </c>
      <c r="C118" s="126" t="s">
        <v>364</v>
      </c>
      <c r="D118" s="126" t="s">
        <v>3</v>
      </c>
    </row>
    <row r="119" spans="1:4" ht="29.5" thickBot="1" x14ac:dyDescent="0.4">
      <c r="A119" s="256"/>
      <c r="B119" s="135" t="s">
        <v>441</v>
      </c>
      <c r="C119" s="122" t="s">
        <v>442</v>
      </c>
      <c r="D119" s="113" t="s">
        <v>3</v>
      </c>
    </row>
    <row r="120" spans="1:4" ht="15" thickBot="1" x14ac:dyDescent="0.4">
      <c r="A120" s="263"/>
      <c r="B120" s="264"/>
      <c r="C120" s="264"/>
      <c r="D120" s="265"/>
    </row>
    <row r="121" spans="1:4" x14ac:dyDescent="0.35">
      <c r="A121" s="254" t="s">
        <v>259</v>
      </c>
      <c r="B121" s="266" t="s">
        <v>443</v>
      </c>
      <c r="C121" s="117" t="s">
        <v>208</v>
      </c>
      <c r="D121" s="117" t="s">
        <v>3</v>
      </c>
    </row>
    <row r="122" spans="1:4" x14ac:dyDescent="0.35">
      <c r="A122" s="255"/>
      <c r="B122" s="258"/>
      <c r="C122" s="106" t="s">
        <v>210</v>
      </c>
      <c r="D122" s="107" t="s">
        <v>3</v>
      </c>
    </row>
    <row r="123" spans="1:4" ht="29" x14ac:dyDescent="0.35">
      <c r="A123" s="255"/>
      <c r="B123" s="119" t="s">
        <v>444</v>
      </c>
      <c r="C123" s="106" t="s">
        <v>53</v>
      </c>
      <c r="D123" s="107" t="s">
        <v>3</v>
      </c>
    </row>
    <row r="124" spans="1:4" x14ac:dyDescent="0.35">
      <c r="A124" s="255"/>
      <c r="B124" s="136" t="s">
        <v>378</v>
      </c>
      <c r="C124" s="107" t="s">
        <v>212</v>
      </c>
      <c r="D124" s="107" t="s">
        <v>3</v>
      </c>
    </row>
    <row r="125" spans="1:4" x14ac:dyDescent="0.35">
      <c r="A125" s="255"/>
      <c r="B125" s="137" t="s">
        <v>445</v>
      </c>
      <c r="C125" s="106" t="s">
        <v>54</v>
      </c>
      <c r="D125" s="107" t="s">
        <v>3</v>
      </c>
    </row>
    <row r="126" spans="1:4" x14ac:dyDescent="0.35">
      <c r="A126" s="255"/>
      <c r="B126" s="120" t="s">
        <v>392</v>
      </c>
      <c r="C126" s="106" t="s">
        <v>364</v>
      </c>
      <c r="D126" s="107" t="s">
        <v>3</v>
      </c>
    </row>
    <row r="127" spans="1:4" x14ac:dyDescent="0.35">
      <c r="A127" s="255"/>
      <c r="B127" s="127" t="s">
        <v>428</v>
      </c>
      <c r="C127" s="126" t="s">
        <v>364</v>
      </c>
      <c r="D127" s="107" t="s">
        <v>3</v>
      </c>
    </row>
    <row r="128" spans="1:4" x14ac:dyDescent="0.35">
      <c r="A128" s="255"/>
      <c r="B128" s="120" t="s">
        <v>365</v>
      </c>
      <c r="C128" s="106" t="s">
        <v>364</v>
      </c>
      <c r="D128" s="107" t="s">
        <v>3</v>
      </c>
    </row>
    <row r="129" spans="1:4" ht="29" x14ac:dyDescent="0.35">
      <c r="A129" s="255"/>
      <c r="B129" s="120" t="s">
        <v>446</v>
      </c>
      <c r="C129" s="126" t="s">
        <v>364</v>
      </c>
      <c r="D129" s="107" t="s">
        <v>3</v>
      </c>
    </row>
    <row r="130" spans="1:4" ht="72.5" x14ac:dyDescent="0.35">
      <c r="A130" s="255"/>
      <c r="B130" s="110" t="s">
        <v>367</v>
      </c>
      <c r="C130" s="106" t="s">
        <v>364</v>
      </c>
      <c r="D130" s="106" t="s">
        <v>3</v>
      </c>
    </row>
    <row r="131" spans="1:4" ht="87" x14ac:dyDescent="0.35">
      <c r="A131" s="255"/>
      <c r="B131" s="110" t="s">
        <v>368</v>
      </c>
      <c r="C131" s="111" t="s">
        <v>364</v>
      </c>
      <c r="D131" s="107" t="s">
        <v>3</v>
      </c>
    </row>
    <row r="132" spans="1:4" x14ac:dyDescent="0.35">
      <c r="A132" s="255"/>
      <c r="B132" s="120" t="s">
        <v>375</v>
      </c>
      <c r="C132" s="115" t="s">
        <v>364</v>
      </c>
      <c r="D132" s="107" t="s">
        <v>3</v>
      </c>
    </row>
    <row r="133" spans="1:4" ht="29" x14ac:dyDescent="0.35">
      <c r="A133" s="255"/>
      <c r="B133" s="110" t="s">
        <v>447</v>
      </c>
      <c r="C133" s="115" t="s">
        <v>364</v>
      </c>
      <c r="D133" s="106" t="s">
        <v>3</v>
      </c>
    </row>
    <row r="134" spans="1:4" x14ac:dyDescent="0.35">
      <c r="A134" s="255"/>
      <c r="B134" s="110" t="s">
        <v>448</v>
      </c>
      <c r="C134" s="115" t="s">
        <v>364</v>
      </c>
      <c r="D134" s="106" t="s">
        <v>3</v>
      </c>
    </row>
    <row r="135" spans="1:4" x14ac:dyDescent="0.35">
      <c r="A135" s="255"/>
      <c r="B135" s="110" t="s">
        <v>449</v>
      </c>
      <c r="C135" s="115" t="s">
        <v>364</v>
      </c>
      <c r="D135" s="106" t="s">
        <v>3</v>
      </c>
    </row>
    <row r="136" spans="1:4" ht="73" thickBot="1" x14ac:dyDescent="0.4">
      <c r="A136" s="256"/>
      <c r="B136" s="138" t="s">
        <v>450</v>
      </c>
      <c r="C136" s="123" t="s">
        <v>364</v>
      </c>
      <c r="D136" s="106" t="s">
        <v>3</v>
      </c>
    </row>
    <row r="137" spans="1:4" ht="15" thickBot="1" x14ac:dyDescent="0.4">
      <c r="A137" s="263"/>
      <c r="B137" s="264"/>
      <c r="C137" s="264"/>
      <c r="D137" s="265"/>
    </row>
    <row r="138" spans="1:4" x14ac:dyDescent="0.35">
      <c r="A138" s="254" t="s">
        <v>451</v>
      </c>
      <c r="B138" s="139" t="s">
        <v>452</v>
      </c>
      <c r="C138" s="140" t="s">
        <v>364</v>
      </c>
      <c r="D138" s="106" t="s">
        <v>3</v>
      </c>
    </row>
    <row r="139" spans="1:4" x14ac:dyDescent="0.35">
      <c r="A139" s="255"/>
      <c r="B139" s="257" t="s">
        <v>386</v>
      </c>
      <c r="C139" s="141" t="s">
        <v>453</v>
      </c>
      <c r="D139" s="106" t="s">
        <v>3</v>
      </c>
    </row>
    <row r="140" spans="1:4" x14ac:dyDescent="0.35">
      <c r="A140" s="255"/>
      <c r="B140" s="258"/>
      <c r="C140" s="141" t="s">
        <v>57</v>
      </c>
      <c r="D140" s="106" t="s">
        <v>3</v>
      </c>
    </row>
    <row r="141" spans="1:4" x14ac:dyDescent="0.35">
      <c r="A141" s="255"/>
      <c r="B141" s="104" t="s">
        <v>454</v>
      </c>
      <c r="C141" s="141" t="s">
        <v>455</v>
      </c>
      <c r="D141" s="106" t="s">
        <v>3</v>
      </c>
    </row>
    <row r="142" spans="1:4" x14ac:dyDescent="0.35">
      <c r="A142" s="255"/>
      <c r="B142" s="142" t="s">
        <v>456</v>
      </c>
      <c r="C142" s="141" t="s">
        <v>364</v>
      </c>
      <c r="D142" s="106" t="s">
        <v>3</v>
      </c>
    </row>
    <row r="143" spans="1:4" ht="72.5" x14ac:dyDescent="0.35">
      <c r="A143" s="255"/>
      <c r="B143" s="110" t="s">
        <v>367</v>
      </c>
      <c r="C143" s="141" t="s">
        <v>364</v>
      </c>
      <c r="D143" s="106" t="s">
        <v>3</v>
      </c>
    </row>
    <row r="144" spans="1:4" ht="87" x14ac:dyDescent="0.35">
      <c r="A144" s="255"/>
      <c r="B144" s="110" t="s">
        <v>368</v>
      </c>
      <c r="C144" s="111" t="s">
        <v>364</v>
      </c>
      <c r="D144" s="107" t="s">
        <v>3</v>
      </c>
    </row>
    <row r="145" spans="1:4" x14ac:dyDescent="0.35">
      <c r="A145" s="255"/>
      <c r="B145" s="110" t="s">
        <v>457</v>
      </c>
      <c r="C145" s="111" t="s">
        <v>458</v>
      </c>
      <c r="D145" s="106" t="s">
        <v>3</v>
      </c>
    </row>
    <row r="146" spans="1:4" ht="29" x14ac:dyDescent="0.35">
      <c r="A146" s="255"/>
      <c r="B146" s="110" t="s">
        <v>446</v>
      </c>
      <c r="C146" s="143" t="s">
        <v>364</v>
      </c>
      <c r="D146" s="106" t="s">
        <v>3</v>
      </c>
    </row>
    <row r="147" spans="1:4" x14ac:dyDescent="0.35">
      <c r="A147" s="255"/>
      <c r="B147" s="110" t="s">
        <v>459</v>
      </c>
      <c r="C147" s="144" t="s">
        <v>364</v>
      </c>
      <c r="D147" s="107" t="s">
        <v>3</v>
      </c>
    </row>
    <row r="148" spans="1:4" ht="15" thickBot="1" x14ac:dyDescent="0.4">
      <c r="A148" s="256"/>
      <c r="B148" s="119" t="s">
        <v>375</v>
      </c>
      <c r="C148" s="115" t="s">
        <v>364</v>
      </c>
      <c r="D148" s="113" t="s">
        <v>3</v>
      </c>
    </row>
    <row r="149" spans="1:4" ht="15" thickBot="1" x14ac:dyDescent="0.4">
      <c r="A149" s="263"/>
      <c r="B149" s="264"/>
      <c r="C149" s="264"/>
      <c r="D149" s="265"/>
    </row>
    <row r="150" spans="1:4" x14ac:dyDescent="0.35">
      <c r="A150" s="254" t="s">
        <v>260</v>
      </c>
      <c r="B150" s="139" t="s">
        <v>460</v>
      </c>
      <c r="C150" s="140" t="s">
        <v>53</v>
      </c>
      <c r="D150" s="126" t="s">
        <v>3</v>
      </c>
    </row>
    <row r="151" spans="1:4" ht="29" x14ac:dyDescent="0.35">
      <c r="A151" s="255"/>
      <c r="B151" s="132" t="s">
        <v>461</v>
      </c>
      <c r="C151" s="145" t="s">
        <v>364</v>
      </c>
      <c r="D151" s="126" t="s">
        <v>3</v>
      </c>
    </row>
    <row r="152" spans="1:4" x14ac:dyDescent="0.35">
      <c r="A152" s="255"/>
      <c r="B152" s="146" t="s">
        <v>462</v>
      </c>
      <c r="C152" s="145" t="s">
        <v>211</v>
      </c>
      <c r="D152" s="126" t="s">
        <v>3</v>
      </c>
    </row>
    <row r="153" spans="1:4" x14ac:dyDescent="0.35">
      <c r="A153" s="255"/>
      <c r="B153" s="110" t="s">
        <v>392</v>
      </c>
      <c r="C153" s="141" t="s">
        <v>364</v>
      </c>
      <c r="D153" s="126" t="s">
        <v>3</v>
      </c>
    </row>
    <row r="154" spans="1:4" x14ac:dyDescent="0.35">
      <c r="A154" s="255"/>
      <c r="B154" s="132" t="s">
        <v>428</v>
      </c>
      <c r="C154" s="143" t="s">
        <v>364</v>
      </c>
      <c r="D154" s="126" t="s">
        <v>3</v>
      </c>
    </row>
    <row r="155" spans="1:4" x14ac:dyDescent="0.35">
      <c r="A155" s="255"/>
      <c r="B155" s="110" t="s">
        <v>365</v>
      </c>
      <c r="C155" s="141" t="s">
        <v>364</v>
      </c>
      <c r="D155" s="126" t="s">
        <v>3</v>
      </c>
    </row>
    <row r="156" spans="1:4" ht="29" x14ac:dyDescent="0.35">
      <c r="A156" s="255"/>
      <c r="B156" s="110" t="s">
        <v>446</v>
      </c>
      <c r="C156" s="143" t="s">
        <v>364</v>
      </c>
      <c r="D156" s="126" t="s">
        <v>3</v>
      </c>
    </row>
    <row r="157" spans="1:4" ht="72.5" x14ac:dyDescent="0.35">
      <c r="A157" s="255"/>
      <c r="B157" s="110" t="s">
        <v>367</v>
      </c>
      <c r="C157" s="141" t="s">
        <v>364</v>
      </c>
      <c r="D157" s="126" t="s">
        <v>3</v>
      </c>
    </row>
    <row r="158" spans="1:4" ht="87" x14ac:dyDescent="0.35">
      <c r="A158" s="255"/>
      <c r="B158" s="110" t="s">
        <v>368</v>
      </c>
      <c r="C158" s="111" t="s">
        <v>364</v>
      </c>
      <c r="D158" s="126" t="s">
        <v>3</v>
      </c>
    </row>
    <row r="159" spans="1:4" ht="29" x14ac:dyDescent="0.35">
      <c r="A159" s="255"/>
      <c r="B159" s="110" t="s">
        <v>447</v>
      </c>
      <c r="C159" s="147" t="s">
        <v>364</v>
      </c>
      <c r="D159" s="126" t="s">
        <v>3</v>
      </c>
    </row>
    <row r="160" spans="1:4" x14ac:dyDescent="0.35">
      <c r="A160" s="255"/>
      <c r="B160" s="110" t="s">
        <v>457</v>
      </c>
      <c r="C160" s="111" t="s">
        <v>458</v>
      </c>
      <c r="D160" s="126" t="s">
        <v>3</v>
      </c>
    </row>
    <row r="161" spans="1:4" x14ac:dyDescent="0.35">
      <c r="A161" s="255"/>
      <c r="B161" s="110" t="s">
        <v>448</v>
      </c>
      <c r="C161" s="147" t="s">
        <v>364</v>
      </c>
      <c r="D161" s="126" t="s">
        <v>3</v>
      </c>
    </row>
    <row r="162" spans="1:4" x14ac:dyDescent="0.35">
      <c r="A162" s="255"/>
      <c r="B162" s="110" t="s">
        <v>449</v>
      </c>
      <c r="C162" s="147" t="s">
        <v>364</v>
      </c>
      <c r="D162" s="126" t="s">
        <v>3</v>
      </c>
    </row>
    <row r="163" spans="1:4" x14ac:dyDescent="0.35">
      <c r="A163" s="255"/>
      <c r="B163" s="110" t="s">
        <v>375</v>
      </c>
      <c r="C163" s="147" t="s">
        <v>364</v>
      </c>
      <c r="D163" s="126" t="s">
        <v>3</v>
      </c>
    </row>
    <row r="164" spans="1:4" ht="73" thickBot="1" x14ac:dyDescent="0.4">
      <c r="A164" s="256"/>
      <c r="B164" s="148" t="s">
        <v>450</v>
      </c>
      <c r="C164" s="149" t="s">
        <v>364</v>
      </c>
      <c r="D164" s="126" t="s">
        <v>3</v>
      </c>
    </row>
    <row r="165" spans="1:4" ht="15" thickBot="1" x14ac:dyDescent="0.4">
      <c r="A165" s="263"/>
      <c r="B165" s="264"/>
      <c r="C165" s="264"/>
      <c r="D165" s="265"/>
    </row>
  </sheetData>
  <mergeCells count="32">
    <mergeCell ref="A138:A148"/>
    <mergeCell ref="B139:B140"/>
    <mergeCell ref="A149:D149"/>
    <mergeCell ref="A150:A164"/>
    <mergeCell ref="A165:D165"/>
    <mergeCell ref="A137:D137"/>
    <mergeCell ref="A72:D72"/>
    <mergeCell ref="A73:A100"/>
    <mergeCell ref="B73:B75"/>
    <mergeCell ref="B77:B78"/>
    <mergeCell ref="B80:B83"/>
    <mergeCell ref="B84:B85"/>
    <mergeCell ref="A101:D101"/>
    <mergeCell ref="A102:A119"/>
    <mergeCell ref="A120:D120"/>
    <mergeCell ref="A121:A136"/>
    <mergeCell ref="B121:B122"/>
    <mergeCell ref="A52:A71"/>
    <mergeCell ref="B54:B55"/>
    <mergeCell ref="B56:B59"/>
    <mergeCell ref="A1:D1"/>
    <mergeCell ref="A3:A16"/>
    <mergeCell ref="B5:B6"/>
    <mergeCell ref="B8:B9"/>
    <mergeCell ref="A17:D17"/>
    <mergeCell ref="A18:A26"/>
    <mergeCell ref="B18:B19"/>
    <mergeCell ref="A27:D27"/>
    <mergeCell ref="A28:A50"/>
    <mergeCell ref="B31:B35"/>
    <mergeCell ref="B39:B40"/>
    <mergeCell ref="A51:D51"/>
  </mergeCells>
  <conditionalFormatting sqref="D146:D147 D132:D136">
    <cfRule type="cellIs" dxfId="94" priority="70" operator="equal">
      <formula>"Not Reviewed"</formula>
    </cfRule>
    <cfRule type="containsText" dxfId="93" priority="71" operator="containsText" text="Reviewed">
      <formula>NOT(ISERROR(SEARCH("Reviewed",D132)))</formula>
    </cfRule>
    <cfRule type="containsText" dxfId="92" priority="72" operator="containsText" text="Pending">
      <formula>NOT(ISERROR(SEARCH("Pending",D132)))</formula>
    </cfRule>
  </conditionalFormatting>
  <conditionalFormatting sqref="D24">
    <cfRule type="cellIs" dxfId="91" priority="67" operator="equal">
      <formula>"Not Reviewed"</formula>
    </cfRule>
    <cfRule type="containsText" dxfId="90" priority="68" operator="containsText" text="Reviewed">
      <formula>NOT(ISERROR(SEARCH("Reviewed",D24)))</formula>
    </cfRule>
    <cfRule type="containsText" dxfId="89" priority="69" operator="containsText" text="Pending">
      <formula>NOT(ISERROR(SEARCH("Pending",D24)))</formula>
    </cfRule>
  </conditionalFormatting>
  <conditionalFormatting sqref="D23">
    <cfRule type="cellIs" dxfId="88" priority="64" operator="equal">
      <formula>"Not Reviewed"</formula>
    </cfRule>
    <cfRule type="containsText" dxfId="87" priority="65" operator="containsText" text="Reviewed">
      <formula>NOT(ISERROR(SEARCH("Reviewed",D23)))</formula>
    </cfRule>
    <cfRule type="containsText" dxfId="86" priority="66" operator="containsText" text="Pending">
      <formula>NOT(ISERROR(SEARCH("Pending",D23)))</formula>
    </cfRule>
  </conditionalFormatting>
  <conditionalFormatting sqref="D98:D99">
    <cfRule type="cellIs" dxfId="85" priority="58" operator="equal">
      <formula>"Not Reviewed"</formula>
    </cfRule>
    <cfRule type="containsText" dxfId="84" priority="59" operator="containsText" text="Reviewed">
      <formula>NOT(ISERROR(SEARCH("Reviewed",D98)))</formula>
    </cfRule>
    <cfRule type="containsText" dxfId="83" priority="60" operator="containsText" text="Pending">
      <formula>NOT(ISERROR(SEARCH("Pending",D98)))</formula>
    </cfRule>
  </conditionalFormatting>
  <conditionalFormatting sqref="D21">
    <cfRule type="cellIs" dxfId="82" priority="52" operator="equal">
      <formula>"Not Reviewed"</formula>
    </cfRule>
    <cfRule type="containsText" dxfId="81" priority="53" operator="containsText" text="Reviewed">
      <formula>NOT(ISERROR(SEARCH("Reviewed",D21)))</formula>
    </cfRule>
    <cfRule type="containsText" dxfId="80" priority="54" operator="containsText" text="Pending">
      <formula>NOT(ISERROR(SEARCH("Pending",D21)))</formula>
    </cfRule>
  </conditionalFormatting>
  <conditionalFormatting sqref="D97">
    <cfRule type="cellIs" dxfId="79" priority="55" operator="equal">
      <formula>"Not Reviewed"</formula>
    </cfRule>
    <cfRule type="containsText" dxfId="78" priority="56" operator="containsText" text="Reviewed">
      <formula>NOT(ISERROR(SEARCH("Reviewed",D97)))</formula>
    </cfRule>
    <cfRule type="containsText" dxfId="77" priority="57" operator="containsText" text="Pending">
      <formula>NOT(ISERROR(SEARCH("Pending",D97)))</formula>
    </cfRule>
  </conditionalFormatting>
  <conditionalFormatting sqref="D143">
    <cfRule type="cellIs" dxfId="76" priority="22" operator="equal">
      <formula>"Not Reviewed"</formula>
    </cfRule>
    <cfRule type="containsText" dxfId="75" priority="23" operator="containsText" text="Reviewed">
      <formula>NOT(ISERROR(SEARCH("Reviewed",D143)))</formula>
    </cfRule>
    <cfRule type="containsText" dxfId="74" priority="24" operator="containsText" text="Pending">
      <formula>NOT(ISERROR(SEARCH("Pending",D143)))</formula>
    </cfRule>
  </conditionalFormatting>
  <conditionalFormatting sqref="D45">
    <cfRule type="cellIs" dxfId="73" priority="49" operator="equal">
      <formula>"Not Reviewed"</formula>
    </cfRule>
    <cfRule type="containsText" dxfId="72" priority="50" operator="containsText" text="Reviewed">
      <formula>NOT(ISERROR(SEARCH("Reviewed",D45)))</formula>
    </cfRule>
    <cfRule type="containsText" dxfId="71" priority="51" operator="containsText" text="Pending">
      <formula>NOT(ISERROR(SEARCH("Pending",D45)))</formula>
    </cfRule>
  </conditionalFormatting>
  <conditionalFormatting sqref="D65">
    <cfRule type="cellIs" dxfId="70" priority="46" operator="equal">
      <formula>"Not Reviewed"</formula>
    </cfRule>
    <cfRule type="containsText" dxfId="69" priority="47" operator="containsText" text="Reviewed">
      <formula>NOT(ISERROR(SEARCH("Reviewed",D65)))</formula>
    </cfRule>
    <cfRule type="containsText" dxfId="68" priority="48" operator="containsText" text="Pending">
      <formula>NOT(ISERROR(SEARCH("Pending",D65)))</formula>
    </cfRule>
  </conditionalFormatting>
  <conditionalFormatting sqref="D66">
    <cfRule type="cellIs" dxfId="67" priority="43" operator="equal">
      <formula>"Not Reviewed"</formula>
    </cfRule>
    <cfRule type="containsText" dxfId="66" priority="44" operator="containsText" text="Reviewed">
      <formula>NOT(ISERROR(SEARCH("Reviewed",D66)))</formula>
    </cfRule>
    <cfRule type="containsText" dxfId="65" priority="45" operator="containsText" text="Pending">
      <formula>NOT(ISERROR(SEARCH("Pending",D66)))</formula>
    </cfRule>
  </conditionalFormatting>
  <conditionalFormatting sqref="D93">
    <cfRule type="cellIs" dxfId="64" priority="40" operator="equal">
      <formula>"Not Reviewed"</formula>
    </cfRule>
    <cfRule type="containsText" dxfId="63" priority="41" operator="containsText" text="Reviewed">
      <formula>NOT(ISERROR(SEARCH("Reviewed",D93)))</formula>
    </cfRule>
    <cfRule type="containsText" dxfId="62" priority="42" operator="containsText" text="Pending">
      <formula>NOT(ISERROR(SEARCH("Pending",D93)))</formula>
    </cfRule>
  </conditionalFormatting>
  <conditionalFormatting sqref="D94">
    <cfRule type="cellIs" dxfId="61" priority="37" operator="equal">
      <formula>"Not Reviewed"</formula>
    </cfRule>
    <cfRule type="containsText" dxfId="60" priority="38" operator="containsText" text="Reviewed">
      <formula>NOT(ISERROR(SEARCH("Reviewed",D94)))</formula>
    </cfRule>
    <cfRule type="containsText" dxfId="59" priority="39" operator="containsText" text="Pending">
      <formula>NOT(ISERROR(SEARCH("Pending",D94)))</formula>
    </cfRule>
  </conditionalFormatting>
  <conditionalFormatting sqref="D112">
    <cfRule type="cellIs" dxfId="58" priority="34" operator="equal">
      <formula>"Not Reviewed"</formula>
    </cfRule>
    <cfRule type="containsText" dxfId="57" priority="35" operator="containsText" text="Reviewed">
      <formula>NOT(ISERROR(SEARCH("Reviewed",D112)))</formula>
    </cfRule>
    <cfRule type="containsText" dxfId="56" priority="36" operator="containsText" text="Pending">
      <formula>NOT(ISERROR(SEARCH("Pending",D112)))</formula>
    </cfRule>
  </conditionalFormatting>
  <conditionalFormatting sqref="D113">
    <cfRule type="cellIs" dxfId="55" priority="31" operator="equal">
      <formula>"Not Reviewed"</formula>
    </cfRule>
    <cfRule type="containsText" dxfId="54" priority="32" operator="containsText" text="Reviewed">
      <formula>NOT(ISERROR(SEARCH("Reviewed",D113)))</formula>
    </cfRule>
    <cfRule type="containsText" dxfId="53" priority="33" operator="containsText" text="Pending">
      <formula>NOT(ISERROR(SEARCH("Pending",D113)))</formula>
    </cfRule>
  </conditionalFormatting>
  <conditionalFormatting sqref="D130">
    <cfRule type="cellIs" dxfId="52" priority="28" operator="equal">
      <formula>"Not Reviewed"</formula>
    </cfRule>
    <cfRule type="containsText" dxfId="51" priority="29" operator="containsText" text="Reviewed">
      <formula>NOT(ISERROR(SEARCH("Reviewed",D130)))</formula>
    </cfRule>
    <cfRule type="containsText" dxfId="50" priority="30" operator="containsText" text="Pending">
      <formula>NOT(ISERROR(SEARCH("Pending",D130)))</formula>
    </cfRule>
  </conditionalFormatting>
  <conditionalFormatting sqref="D131">
    <cfRule type="cellIs" dxfId="49" priority="25" operator="equal">
      <formula>"Not Reviewed"</formula>
    </cfRule>
    <cfRule type="containsText" dxfId="48" priority="26" operator="containsText" text="Reviewed">
      <formula>NOT(ISERROR(SEARCH("Reviewed",D131)))</formula>
    </cfRule>
    <cfRule type="containsText" dxfId="47" priority="27" operator="containsText" text="Pending">
      <formula>NOT(ISERROR(SEARCH("Pending",D131)))</formula>
    </cfRule>
  </conditionalFormatting>
  <conditionalFormatting sqref="D144:D145">
    <cfRule type="cellIs" dxfId="46" priority="19" operator="equal">
      <formula>"Not Reviewed"</formula>
    </cfRule>
    <cfRule type="containsText" dxfId="45" priority="20" operator="containsText" text="Reviewed">
      <formula>NOT(ISERROR(SEARCH("Reviewed",D144)))</formula>
    </cfRule>
    <cfRule type="containsText" dxfId="44" priority="21" operator="containsText" text="Pending">
      <formula>NOT(ISERROR(SEARCH("Pending",D144)))</formula>
    </cfRule>
  </conditionalFormatting>
  <conditionalFormatting sqref="D73:D92 D166:D1048576 D18:D20 D102:D105 D138:D142 D25:D26 D100 D28:D44 D52:D61 D1:D16 D46:D50 D95:D96 D114:D117 D121:D129 D119">
    <cfRule type="cellIs" dxfId="43" priority="88" operator="equal">
      <formula>"Not Reviewed"</formula>
    </cfRule>
    <cfRule type="containsText" dxfId="42" priority="89" operator="containsText" text="Reviewed">
      <formula>NOT(ISERROR(SEARCH("Reviewed",D1)))</formula>
    </cfRule>
    <cfRule type="containsText" dxfId="41" priority="90" operator="containsText" text="Pending">
      <formula>NOT(ISERROR(SEARCH("Pending",D1)))</formula>
    </cfRule>
  </conditionalFormatting>
  <conditionalFormatting sqref="D106:D111">
    <cfRule type="cellIs" dxfId="40" priority="85" operator="equal">
      <formula>"Not Reviewed"</formula>
    </cfRule>
    <cfRule type="containsText" dxfId="39" priority="86" operator="containsText" text="Reviewed">
      <formula>NOT(ISERROR(SEARCH("Reviewed",D106)))</formula>
    </cfRule>
    <cfRule type="containsText" dxfId="38" priority="87" operator="containsText" text="Pending">
      <formula>NOT(ISERROR(SEARCH("Pending",D106)))</formula>
    </cfRule>
  </conditionalFormatting>
  <conditionalFormatting sqref="D71">
    <cfRule type="cellIs" dxfId="37" priority="82" operator="equal">
      <formula>"Not Reviewed"</formula>
    </cfRule>
    <cfRule type="containsText" dxfId="36" priority="83" operator="containsText" text="Reviewed">
      <formula>NOT(ISERROR(SEARCH("Reviewed",D71)))</formula>
    </cfRule>
    <cfRule type="containsText" dxfId="35" priority="84" operator="containsText" text="Pending">
      <formula>NOT(ISERROR(SEARCH("Pending",D71)))</formula>
    </cfRule>
  </conditionalFormatting>
  <conditionalFormatting sqref="D62:D63 D67:D70">
    <cfRule type="cellIs" dxfId="34" priority="79" operator="equal">
      <formula>"Not Reviewed"</formula>
    </cfRule>
    <cfRule type="containsText" dxfId="33" priority="80" operator="containsText" text="Reviewed">
      <formula>NOT(ISERROR(SEARCH("Reviewed",D62)))</formula>
    </cfRule>
    <cfRule type="containsText" dxfId="32" priority="81" operator="containsText" text="Pending">
      <formula>NOT(ISERROR(SEARCH("Pending",D62)))</formula>
    </cfRule>
  </conditionalFormatting>
  <conditionalFormatting sqref="D64">
    <cfRule type="cellIs" dxfId="31" priority="76" operator="equal">
      <formula>"Not Reviewed"</formula>
    </cfRule>
    <cfRule type="containsText" dxfId="30" priority="77" operator="containsText" text="Reviewed">
      <formula>NOT(ISERROR(SEARCH("Reviewed",D64)))</formula>
    </cfRule>
    <cfRule type="containsText" dxfId="29" priority="78" operator="containsText" text="Pending">
      <formula>NOT(ISERROR(SEARCH("Pending",D64)))</formula>
    </cfRule>
  </conditionalFormatting>
  <conditionalFormatting sqref="D148">
    <cfRule type="cellIs" dxfId="28" priority="73" operator="equal">
      <formula>"Not Reviewed"</formula>
    </cfRule>
    <cfRule type="containsText" dxfId="27" priority="74" operator="containsText" text="Reviewed">
      <formula>NOT(ISERROR(SEARCH("Reviewed",D148)))</formula>
    </cfRule>
    <cfRule type="containsText" dxfId="26" priority="75" operator="containsText" text="Pending">
      <formula>NOT(ISERROR(SEARCH("Pending",D148)))</formula>
    </cfRule>
  </conditionalFormatting>
  <conditionalFormatting sqref="D22">
    <cfRule type="cellIs" dxfId="25" priority="61" operator="equal">
      <formula>"Not Reviewed"</formula>
    </cfRule>
    <cfRule type="containsText" dxfId="24" priority="62" operator="containsText" text="Reviewed">
      <formula>NOT(ISERROR(SEARCH("Reviewed",D22)))</formula>
    </cfRule>
    <cfRule type="containsText" dxfId="23" priority="63" operator="containsText" text="Pending">
      <formula>NOT(ISERROR(SEARCH("Pending",D22)))</formula>
    </cfRule>
  </conditionalFormatting>
  <conditionalFormatting sqref="D160:D161">
    <cfRule type="cellIs" dxfId="22" priority="10" operator="equal">
      <formula>"Not Reviewed"</formula>
    </cfRule>
    <cfRule type="containsText" dxfId="21" priority="11" operator="containsText" text="Reviewed">
      <formula>NOT(ISERROR(SEARCH("Reviewed",D160)))</formula>
    </cfRule>
    <cfRule type="containsText" dxfId="20" priority="12" operator="containsText" text="Pending">
      <formula>NOT(ISERROR(SEARCH("Pending",D160)))</formula>
    </cfRule>
  </conditionalFormatting>
  <conditionalFormatting sqref="D150:D157">
    <cfRule type="cellIs" dxfId="19" priority="16" operator="equal">
      <formula>"Not Reviewed"</formula>
    </cfRule>
    <cfRule type="containsText" dxfId="18" priority="17" operator="containsText" text="Reviewed">
      <formula>NOT(ISERROR(SEARCH("Reviewed",D150)))</formula>
    </cfRule>
    <cfRule type="containsText" dxfId="17" priority="18" operator="containsText" text="Pending">
      <formula>NOT(ISERROR(SEARCH("Pending",D150)))</formula>
    </cfRule>
  </conditionalFormatting>
  <conditionalFormatting sqref="D158:D159">
    <cfRule type="cellIs" dxfId="16" priority="13" operator="equal">
      <formula>"Not Reviewed"</formula>
    </cfRule>
    <cfRule type="containsText" dxfId="15" priority="14" operator="containsText" text="Reviewed">
      <formula>NOT(ISERROR(SEARCH("Reviewed",D158)))</formula>
    </cfRule>
    <cfRule type="containsText" dxfId="14" priority="15" operator="containsText" text="Pending">
      <formula>NOT(ISERROR(SEARCH("Pending",D158)))</formula>
    </cfRule>
  </conditionalFormatting>
  <conditionalFormatting sqref="D162">
    <cfRule type="cellIs" dxfId="13" priority="7" operator="equal">
      <formula>"Not Reviewed"</formula>
    </cfRule>
    <cfRule type="containsText" dxfId="12" priority="8" operator="containsText" text="Reviewed">
      <formula>NOT(ISERROR(SEARCH("Reviewed",D162)))</formula>
    </cfRule>
    <cfRule type="containsText" dxfId="11" priority="9" operator="containsText" text="Pending">
      <formula>NOT(ISERROR(SEARCH("Pending",D162)))</formula>
    </cfRule>
  </conditionalFormatting>
  <conditionalFormatting sqref="D163:D164">
    <cfRule type="cellIs" dxfId="10" priority="4" operator="equal">
      <formula>"Not Reviewed"</formula>
    </cfRule>
    <cfRule type="containsText" dxfId="9" priority="5" operator="containsText" text="Reviewed">
      <formula>NOT(ISERROR(SEARCH("Reviewed",D163)))</formula>
    </cfRule>
    <cfRule type="containsText" dxfId="8" priority="6" operator="containsText" text="Pending">
      <formula>NOT(ISERROR(SEARCH("Pending",D163)))</formula>
    </cfRule>
  </conditionalFormatting>
  <conditionalFormatting sqref="D118">
    <cfRule type="cellIs" dxfId="7" priority="1" operator="equal">
      <formula>"Not Reviewed"</formula>
    </cfRule>
    <cfRule type="containsText" dxfId="6" priority="2" operator="containsText" text="Reviewed">
      <formula>NOT(ISERROR(SEARCH("Reviewed",D118)))</formula>
    </cfRule>
    <cfRule type="containsText" dxfId="5" priority="3" operator="containsText" text="Pending">
      <formula>NOT(ISERROR(SEARCH("Pending",D118)))</formula>
    </cfRule>
  </conditionalFormatting>
  <dataValidations count="2">
    <dataValidation type="list" allowBlank="1" showInputMessage="1" showErrorMessage="1" sqref="D166:D1048576 D1:D2" xr:uid="{00000000-0002-0000-1200-000000000000}">
      <formula1>"Pending, Reviewed, Not Reviewed"</formula1>
    </dataValidation>
    <dataValidation type="list" allowBlank="1" showInputMessage="1" showErrorMessage="1" sqref="D3:D16 D18:D26 D28:D50 D52:D71 D73:D100 D102:D119 D121:D136 D138:D148 D150:D164" xr:uid="{00000000-0002-0000-1200-000001000000}">
      <formula1>"Pending, Reviewed, NA"</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H67"/>
  <sheetViews>
    <sheetView topLeftCell="A68" workbookViewId="0">
      <selection activeCell="C35" sqref="C35:H35"/>
    </sheetView>
  </sheetViews>
  <sheetFormatPr defaultRowHeight="14.5" x14ac:dyDescent="0.35"/>
  <cols>
    <col min="1" max="1" width="5.26953125" style="179" bestFit="1" customWidth="1"/>
    <col min="2" max="2" width="17.81640625" style="179" customWidth="1"/>
    <col min="3" max="3" width="21.7265625" style="47" hidden="1" customWidth="1"/>
    <col min="4" max="4" width="21.1796875" style="47" customWidth="1"/>
    <col min="5" max="5" width="8.1796875" style="47" bestFit="1" customWidth="1"/>
    <col min="6" max="6" width="20.26953125" style="47" hidden="1" customWidth="1"/>
    <col min="7" max="7" width="8" style="47" bestFit="1" customWidth="1"/>
    <col min="8" max="8" width="75.1796875" style="47" customWidth="1"/>
  </cols>
  <sheetData>
    <row r="1" spans="1:8" ht="15" thickBot="1" x14ac:dyDescent="0.4">
      <c r="A1" s="267" t="s">
        <v>463</v>
      </c>
      <c r="B1" s="268"/>
      <c r="C1" s="268"/>
      <c r="D1" s="268"/>
      <c r="E1" s="268"/>
      <c r="F1" s="268"/>
      <c r="G1" s="268"/>
      <c r="H1" s="269"/>
    </row>
    <row r="2" spans="1:8" ht="15" thickBot="1" x14ac:dyDescent="0.4">
      <c r="A2" s="150" t="s">
        <v>464</v>
      </c>
      <c r="B2" s="151" t="s">
        <v>465</v>
      </c>
      <c r="C2" s="152" t="s">
        <v>347</v>
      </c>
      <c r="D2" s="152" t="s">
        <v>466</v>
      </c>
      <c r="E2" s="152" t="s">
        <v>467</v>
      </c>
      <c r="F2" s="152" t="s">
        <v>468</v>
      </c>
      <c r="G2" s="152" t="s">
        <v>469</v>
      </c>
      <c r="H2" s="153" t="s">
        <v>470</v>
      </c>
    </row>
    <row r="3" spans="1:8" x14ac:dyDescent="0.35">
      <c r="A3" s="154" t="s">
        <v>471</v>
      </c>
      <c r="B3" s="155" t="s">
        <v>472</v>
      </c>
      <c r="C3" s="156" t="s">
        <v>364</v>
      </c>
      <c r="D3" s="156" t="s">
        <v>473</v>
      </c>
      <c r="E3" s="156" t="s">
        <v>474</v>
      </c>
      <c r="F3" s="156" t="s">
        <v>475</v>
      </c>
      <c r="G3" s="156" t="s">
        <v>268</v>
      </c>
      <c r="H3" s="157" t="s">
        <v>475</v>
      </c>
    </row>
    <row r="4" spans="1:8" x14ac:dyDescent="0.35">
      <c r="A4" s="158">
        <v>82</v>
      </c>
      <c r="B4" s="159" t="s">
        <v>476</v>
      </c>
      <c r="C4" s="160" t="s">
        <v>364</v>
      </c>
      <c r="D4" s="160" t="s">
        <v>477</v>
      </c>
      <c r="E4" s="160" t="s">
        <v>474</v>
      </c>
      <c r="F4" s="160" t="s">
        <v>478</v>
      </c>
      <c r="G4" s="161" t="s">
        <v>269</v>
      </c>
      <c r="H4" s="162" t="s">
        <v>475</v>
      </c>
    </row>
    <row r="5" spans="1:8" x14ac:dyDescent="0.35">
      <c r="A5" s="163">
        <v>84</v>
      </c>
      <c r="B5" s="164" t="s">
        <v>472</v>
      </c>
      <c r="C5" s="161" t="s">
        <v>364</v>
      </c>
      <c r="D5" s="161" t="s">
        <v>477</v>
      </c>
      <c r="E5" s="161" t="s">
        <v>474</v>
      </c>
      <c r="F5" s="161" t="s">
        <v>479</v>
      </c>
      <c r="G5" s="161" t="s">
        <v>268</v>
      </c>
      <c r="H5" s="165" t="s">
        <v>475</v>
      </c>
    </row>
    <row r="6" spans="1:8" x14ac:dyDescent="0.35">
      <c r="A6" s="158">
        <v>95</v>
      </c>
      <c r="B6" s="159" t="s">
        <v>480</v>
      </c>
      <c r="C6" s="160" t="s">
        <v>364</v>
      </c>
      <c r="D6" s="160" t="s">
        <v>477</v>
      </c>
      <c r="E6" s="160" t="s">
        <v>481</v>
      </c>
      <c r="F6" s="160" t="s">
        <v>482</v>
      </c>
      <c r="G6" s="161" t="s">
        <v>269</v>
      </c>
      <c r="H6" s="162" t="s">
        <v>483</v>
      </c>
    </row>
    <row r="7" spans="1:8" x14ac:dyDescent="0.35">
      <c r="A7" s="163" t="s">
        <v>484</v>
      </c>
      <c r="B7" s="164" t="s">
        <v>485</v>
      </c>
      <c r="C7" s="161" t="s">
        <v>364</v>
      </c>
      <c r="D7" s="161" t="s">
        <v>477</v>
      </c>
      <c r="E7" s="161" t="s">
        <v>481</v>
      </c>
      <c r="F7" s="161" t="s">
        <v>482</v>
      </c>
      <c r="G7" s="161" t="s">
        <v>268</v>
      </c>
      <c r="H7" s="165" t="s">
        <v>483</v>
      </c>
    </row>
    <row r="8" spans="1:8" x14ac:dyDescent="0.35">
      <c r="A8" s="158" t="s">
        <v>486</v>
      </c>
      <c r="B8" s="159" t="s">
        <v>220</v>
      </c>
      <c r="C8" s="160" t="s">
        <v>364</v>
      </c>
      <c r="D8" s="160" t="s">
        <v>477</v>
      </c>
      <c r="E8" s="160" t="s">
        <v>481</v>
      </c>
      <c r="F8" s="160" t="s">
        <v>482</v>
      </c>
      <c r="G8" s="161" t="s">
        <v>269</v>
      </c>
      <c r="H8" s="162" t="s">
        <v>483</v>
      </c>
    </row>
    <row r="9" spans="1:8" ht="29" x14ac:dyDescent="0.35">
      <c r="A9" s="163" t="s">
        <v>487</v>
      </c>
      <c r="B9" s="164" t="s">
        <v>488</v>
      </c>
      <c r="C9" s="161" t="s">
        <v>364</v>
      </c>
      <c r="D9" s="161" t="s">
        <v>477</v>
      </c>
      <c r="E9" s="161" t="s">
        <v>474</v>
      </c>
      <c r="F9" s="161" t="s">
        <v>489</v>
      </c>
      <c r="G9" s="161" t="s">
        <v>268</v>
      </c>
      <c r="H9" s="165" t="s">
        <v>475</v>
      </c>
    </row>
    <row r="10" spans="1:8" ht="29" x14ac:dyDescent="0.35">
      <c r="A10" s="158" t="s">
        <v>490</v>
      </c>
      <c r="B10" s="159" t="s">
        <v>491</v>
      </c>
      <c r="C10" s="160" t="s">
        <v>364</v>
      </c>
      <c r="D10" s="160" t="s">
        <v>477</v>
      </c>
      <c r="E10" s="160" t="s">
        <v>481</v>
      </c>
      <c r="F10" s="160" t="s">
        <v>482</v>
      </c>
      <c r="G10" s="160" t="s">
        <v>269</v>
      </c>
      <c r="H10" s="162" t="s">
        <v>492</v>
      </c>
    </row>
    <row r="11" spans="1:8" x14ac:dyDescent="0.35">
      <c r="A11" s="163" t="s">
        <v>493</v>
      </c>
      <c r="B11" s="164" t="s">
        <v>494</v>
      </c>
      <c r="C11" s="161" t="s">
        <v>364</v>
      </c>
      <c r="D11" s="161" t="s">
        <v>477</v>
      </c>
      <c r="E11" s="161" t="s">
        <v>474</v>
      </c>
      <c r="F11" s="161" t="s">
        <v>489</v>
      </c>
      <c r="G11" s="161" t="s">
        <v>475</v>
      </c>
      <c r="H11" s="165" t="s">
        <v>475</v>
      </c>
    </row>
    <row r="12" spans="1:8" ht="29" x14ac:dyDescent="0.35">
      <c r="A12" s="158" t="s">
        <v>495</v>
      </c>
      <c r="B12" s="159" t="s">
        <v>496</v>
      </c>
      <c r="C12" s="160" t="s">
        <v>364</v>
      </c>
      <c r="D12" s="160" t="s">
        <v>497</v>
      </c>
      <c r="E12" s="160" t="s">
        <v>474</v>
      </c>
      <c r="F12" s="160" t="s">
        <v>489</v>
      </c>
      <c r="G12" s="160" t="s">
        <v>268</v>
      </c>
      <c r="H12" s="162" t="s">
        <v>498</v>
      </c>
    </row>
    <row r="13" spans="1:8" ht="29" x14ac:dyDescent="0.35">
      <c r="A13" s="163" t="s">
        <v>499</v>
      </c>
      <c r="B13" s="164" t="s">
        <v>500</v>
      </c>
      <c r="C13" s="161" t="s">
        <v>364</v>
      </c>
      <c r="D13" s="161" t="s">
        <v>477</v>
      </c>
      <c r="E13" s="161" t="s">
        <v>481</v>
      </c>
      <c r="F13" s="161" t="s">
        <v>482</v>
      </c>
      <c r="G13" s="161" t="s">
        <v>268</v>
      </c>
      <c r="H13" s="165" t="s">
        <v>483</v>
      </c>
    </row>
    <row r="14" spans="1:8" x14ac:dyDescent="0.35">
      <c r="A14" s="158" t="s">
        <v>501</v>
      </c>
      <c r="B14" s="159" t="s">
        <v>502</v>
      </c>
      <c r="C14" s="160" t="s">
        <v>364</v>
      </c>
      <c r="D14" s="160" t="s">
        <v>477</v>
      </c>
      <c r="E14" s="160" t="s">
        <v>481</v>
      </c>
      <c r="F14" s="160" t="s">
        <v>482</v>
      </c>
      <c r="G14" s="160" t="s">
        <v>268</v>
      </c>
      <c r="H14" s="162" t="s">
        <v>483</v>
      </c>
    </row>
    <row r="15" spans="1:8" x14ac:dyDescent="0.35">
      <c r="A15" s="163" t="s">
        <v>503</v>
      </c>
      <c r="B15" s="164" t="s">
        <v>472</v>
      </c>
      <c r="C15" s="161" t="s">
        <v>364</v>
      </c>
      <c r="D15" s="161" t="s">
        <v>477</v>
      </c>
      <c r="E15" s="161" t="s">
        <v>481</v>
      </c>
      <c r="F15" s="161" t="s">
        <v>475</v>
      </c>
      <c r="G15" s="161" t="s">
        <v>268</v>
      </c>
      <c r="H15" s="165" t="s">
        <v>475</v>
      </c>
    </row>
    <row r="16" spans="1:8" x14ac:dyDescent="0.35">
      <c r="A16" s="158" t="s">
        <v>504</v>
      </c>
      <c r="B16" s="159" t="s">
        <v>505</v>
      </c>
      <c r="C16" s="160" t="s">
        <v>364</v>
      </c>
      <c r="D16" s="160" t="s">
        <v>473</v>
      </c>
      <c r="E16" s="160" t="s">
        <v>474</v>
      </c>
      <c r="F16" s="160" t="s">
        <v>489</v>
      </c>
      <c r="G16" s="160" t="s">
        <v>475</v>
      </c>
      <c r="H16" s="162" t="s">
        <v>475</v>
      </c>
    </row>
    <row r="17" spans="1:8" ht="72.5" x14ac:dyDescent="0.35">
      <c r="A17" s="163" t="s">
        <v>506</v>
      </c>
      <c r="B17" s="164" t="s">
        <v>507</v>
      </c>
      <c r="C17" s="161" t="s">
        <v>364</v>
      </c>
      <c r="D17" s="161" t="s">
        <v>477</v>
      </c>
      <c r="E17" s="161" t="s">
        <v>481</v>
      </c>
      <c r="F17" s="161" t="s">
        <v>475</v>
      </c>
      <c r="G17" s="161" t="s">
        <v>268</v>
      </c>
      <c r="H17" s="166" t="s">
        <v>508</v>
      </c>
    </row>
    <row r="18" spans="1:8" ht="29" x14ac:dyDescent="0.35">
      <c r="A18" s="158" t="s">
        <v>509</v>
      </c>
      <c r="B18" s="159" t="s">
        <v>510</v>
      </c>
      <c r="C18" s="160" t="s">
        <v>364</v>
      </c>
      <c r="D18" s="160" t="s">
        <v>477</v>
      </c>
      <c r="E18" s="160" t="s">
        <v>481</v>
      </c>
      <c r="F18" s="160" t="s">
        <v>511</v>
      </c>
      <c r="G18" s="160" t="s">
        <v>269</v>
      </c>
      <c r="H18" s="162" t="s">
        <v>475</v>
      </c>
    </row>
    <row r="19" spans="1:8" ht="29" x14ac:dyDescent="0.35">
      <c r="A19" s="163" t="s">
        <v>512</v>
      </c>
      <c r="B19" s="164" t="s">
        <v>513</v>
      </c>
      <c r="C19" s="161" t="s">
        <v>364</v>
      </c>
      <c r="D19" s="161" t="s">
        <v>477</v>
      </c>
      <c r="E19" s="161" t="s">
        <v>481</v>
      </c>
      <c r="F19" s="161" t="s">
        <v>482</v>
      </c>
      <c r="G19" s="161" t="s">
        <v>269</v>
      </c>
      <c r="H19" s="165" t="s">
        <v>475</v>
      </c>
    </row>
    <row r="20" spans="1:8" x14ac:dyDescent="0.35">
      <c r="A20" s="158" t="s">
        <v>514</v>
      </c>
      <c r="B20" s="159" t="s">
        <v>515</v>
      </c>
      <c r="C20" s="160" t="s">
        <v>364</v>
      </c>
      <c r="D20" s="160" t="s">
        <v>516</v>
      </c>
      <c r="E20" s="160" t="s">
        <v>481</v>
      </c>
      <c r="F20" s="160" t="s">
        <v>475</v>
      </c>
      <c r="G20" s="160" t="s">
        <v>475</v>
      </c>
      <c r="H20" s="167" t="s">
        <v>517</v>
      </c>
    </row>
    <row r="21" spans="1:8" ht="29" x14ac:dyDescent="0.35">
      <c r="A21" s="163" t="s">
        <v>518</v>
      </c>
      <c r="B21" s="164" t="s">
        <v>519</v>
      </c>
      <c r="C21" s="161" t="s">
        <v>364</v>
      </c>
      <c r="D21" s="161" t="s">
        <v>477</v>
      </c>
      <c r="E21" s="161" t="s">
        <v>481</v>
      </c>
      <c r="F21" s="161" t="s">
        <v>511</v>
      </c>
      <c r="G21" s="161" t="s">
        <v>269</v>
      </c>
      <c r="H21" s="165" t="s">
        <v>475</v>
      </c>
    </row>
    <row r="22" spans="1:8" ht="29" x14ac:dyDescent="0.35">
      <c r="A22" s="158" t="s">
        <v>520</v>
      </c>
      <c r="B22" s="159" t="s">
        <v>521</v>
      </c>
      <c r="C22" s="160" t="s">
        <v>364</v>
      </c>
      <c r="D22" s="160" t="s">
        <v>477</v>
      </c>
      <c r="E22" s="160" t="s">
        <v>481</v>
      </c>
      <c r="F22" s="160" t="s">
        <v>511</v>
      </c>
      <c r="G22" s="160" t="s">
        <v>269</v>
      </c>
      <c r="H22" s="162" t="s">
        <v>522</v>
      </c>
    </row>
    <row r="23" spans="1:8" ht="29" x14ac:dyDescent="0.35">
      <c r="A23" s="163" t="s">
        <v>523</v>
      </c>
      <c r="B23" s="164" t="s">
        <v>524</v>
      </c>
      <c r="C23" s="161" t="s">
        <v>364</v>
      </c>
      <c r="D23" s="164" t="s">
        <v>525</v>
      </c>
      <c r="E23" s="161" t="s">
        <v>481</v>
      </c>
      <c r="F23" s="161" t="s">
        <v>475</v>
      </c>
      <c r="G23" s="161" t="s">
        <v>269</v>
      </c>
      <c r="H23" s="166" t="s">
        <v>526</v>
      </c>
    </row>
    <row r="24" spans="1:8" x14ac:dyDescent="0.35">
      <c r="A24" s="158" t="s">
        <v>527</v>
      </c>
      <c r="B24" s="159" t="s">
        <v>528</v>
      </c>
      <c r="C24" s="160" t="s">
        <v>364</v>
      </c>
      <c r="D24" s="160" t="s">
        <v>477</v>
      </c>
      <c r="E24" s="160" t="s">
        <v>481</v>
      </c>
      <c r="F24" s="160" t="s">
        <v>482</v>
      </c>
      <c r="G24" s="160" t="s">
        <v>269</v>
      </c>
      <c r="H24" s="162" t="s">
        <v>529</v>
      </c>
    </row>
    <row r="25" spans="1:8" x14ac:dyDescent="0.35">
      <c r="A25" s="163" t="s">
        <v>530</v>
      </c>
      <c r="B25" s="164" t="s">
        <v>531</v>
      </c>
      <c r="C25" s="161" t="s">
        <v>364</v>
      </c>
      <c r="D25" s="161" t="s">
        <v>477</v>
      </c>
      <c r="E25" s="161" t="s">
        <v>481</v>
      </c>
      <c r="F25" s="161" t="s">
        <v>482</v>
      </c>
      <c r="G25" s="161" t="s">
        <v>268</v>
      </c>
      <c r="H25" s="165" t="s">
        <v>532</v>
      </c>
    </row>
    <row r="26" spans="1:8" ht="43.5" x14ac:dyDescent="0.35">
      <c r="A26" s="158" t="s">
        <v>533</v>
      </c>
      <c r="B26" s="159" t="s">
        <v>534</v>
      </c>
      <c r="C26" s="160" t="s">
        <v>364</v>
      </c>
      <c r="D26" s="160" t="s">
        <v>477</v>
      </c>
      <c r="E26" s="160" t="s">
        <v>481</v>
      </c>
      <c r="F26" s="160" t="s">
        <v>511</v>
      </c>
      <c r="G26" s="160" t="s">
        <v>269</v>
      </c>
      <c r="H26" s="162" t="s">
        <v>475</v>
      </c>
    </row>
    <row r="27" spans="1:8" ht="29" x14ac:dyDescent="0.35">
      <c r="A27" s="163" t="s">
        <v>535</v>
      </c>
      <c r="B27" s="164" t="s">
        <v>536</v>
      </c>
      <c r="C27" s="161" t="s">
        <v>364</v>
      </c>
      <c r="D27" s="161" t="s">
        <v>477</v>
      </c>
      <c r="E27" s="161" t="s">
        <v>481</v>
      </c>
      <c r="F27" s="161" t="s">
        <v>482</v>
      </c>
      <c r="G27" s="161" t="s">
        <v>268</v>
      </c>
      <c r="H27" s="165" t="s">
        <v>475</v>
      </c>
    </row>
    <row r="28" spans="1:8" x14ac:dyDescent="0.35">
      <c r="A28" s="158" t="s">
        <v>537</v>
      </c>
      <c r="B28" s="159" t="s">
        <v>538</v>
      </c>
      <c r="C28" s="160" t="s">
        <v>364</v>
      </c>
      <c r="D28" s="160" t="s">
        <v>477</v>
      </c>
      <c r="E28" s="160" t="s">
        <v>481</v>
      </c>
      <c r="F28" s="160" t="s">
        <v>475</v>
      </c>
      <c r="G28" s="160" t="s">
        <v>268</v>
      </c>
      <c r="H28" s="162" t="s">
        <v>483</v>
      </c>
    </row>
    <row r="29" spans="1:8" ht="29" x14ac:dyDescent="0.35">
      <c r="A29" s="163" t="s">
        <v>539</v>
      </c>
      <c r="B29" s="164" t="s">
        <v>540</v>
      </c>
      <c r="C29" s="161" t="s">
        <v>364</v>
      </c>
      <c r="D29" s="161" t="s">
        <v>477</v>
      </c>
      <c r="E29" s="161" t="s">
        <v>481</v>
      </c>
      <c r="F29" s="161" t="s">
        <v>475</v>
      </c>
      <c r="G29" s="161" t="s">
        <v>475</v>
      </c>
      <c r="H29" s="165" t="s">
        <v>475</v>
      </c>
    </row>
    <row r="30" spans="1:8" x14ac:dyDescent="0.35">
      <c r="A30" s="270" t="s">
        <v>541</v>
      </c>
      <c r="B30" s="272" t="s">
        <v>542</v>
      </c>
      <c r="C30" s="274" t="s">
        <v>543</v>
      </c>
      <c r="D30" s="160" t="s">
        <v>609</v>
      </c>
      <c r="E30" s="160" t="s">
        <v>481</v>
      </c>
      <c r="F30" s="274" t="s">
        <v>475</v>
      </c>
      <c r="G30" s="274" t="s">
        <v>475</v>
      </c>
      <c r="H30" s="276" t="s">
        <v>475</v>
      </c>
    </row>
    <row r="31" spans="1:8" x14ac:dyDescent="0.35">
      <c r="A31" s="271"/>
      <c r="B31" s="273"/>
      <c r="C31" s="275"/>
      <c r="D31" s="160" t="s">
        <v>544</v>
      </c>
      <c r="E31" s="160" t="s">
        <v>474</v>
      </c>
      <c r="F31" s="275"/>
      <c r="G31" s="275"/>
      <c r="H31" s="277"/>
    </row>
    <row r="32" spans="1:8" ht="188.5" x14ac:dyDescent="0.35">
      <c r="A32" s="210" t="s">
        <v>560</v>
      </c>
      <c r="B32" s="211" t="s">
        <v>610</v>
      </c>
      <c r="C32" s="212" t="s">
        <v>611</v>
      </c>
      <c r="D32" s="160" t="s">
        <v>612</v>
      </c>
      <c r="E32" s="168" t="s">
        <v>481</v>
      </c>
      <c r="F32" s="212" t="s">
        <v>613</v>
      </c>
      <c r="G32" s="212" t="s">
        <v>475</v>
      </c>
      <c r="H32" s="213" t="s">
        <v>614</v>
      </c>
    </row>
    <row r="33" spans="1:8" x14ac:dyDescent="0.35">
      <c r="A33" s="280" t="s">
        <v>545</v>
      </c>
      <c r="B33" s="282" t="s">
        <v>546</v>
      </c>
      <c r="C33" s="282" t="s">
        <v>547</v>
      </c>
      <c r="D33" s="169" t="s">
        <v>548</v>
      </c>
      <c r="E33" s="282" t="s">
        <v>474</v>
      </c>
      <c r="F33" s="282" t="s">
        <v>549</v>
      </c>
      <c r="G33" s="282" t="s">
        <v>475</v>
      </c>
      <c r="H33" s="170" t="s">
        <v>475</v>
      </c>
    </row>
    <row r="34" spans="1:8" ht="44" thickBot="1" x14ac:dyDescent="0.4">
      <c r="A34" s="281"/>
      <c r="B34" s="283"/>
      <c r="C34" s="283"/>
      <c r="D34" s="171" t="s">
        <v>550</v>
      </c>
      <c r="E34" s="283"/>
      <c r="F34" s="283"/>
      <c r="G34" s="283"/>
      <c r="H34" s="172" t="s">
        <v>551</v>
      </c>
    </row>
    <row r="35" spans="1:8" ht="15" thickBot="1" x14ac:dyDescent="0.4">
      <c r="A35" s="173"/>
      <c r="B35" s="174" t="s">
        <v>552</v>
      </c>
      <c r="C35" s="278" t="str">
        <f>SUBSTITUTE(TRIM(CONCATENATE(C37," ",C38," ",C39," ",C40," ",C41," ",C42," ",C43," ",C44," ",C45," ",C46," ",C47," ",C48," ",C49," ",C50," ",C51," ",C52," ",C53," ",C54," ",C55," ",C56," ",C57," ",C58," ",C59," ",C60," ",C61," ",C62," ",C63," ",C64," ",C65," ",C66," ",C67))," ",", ")</f>
        <v>4F, 84, 9A, 5F24, 5F34, 9F02, 9F03, 9F06, 9F09, 9F35, 9F37, 9F39</v>
      </c>
      <c r="D35" s="278"/>
      <c r="E35" s="278"/>
      <c r="F35" s="278"/>
      <c r="G35" s="278"/>
      <c r="H35" s="279"/>
    </row>
    <row r="36" spans="1:8" ht="15" thickBot="1" x14ac:dyDescent="0.4">
      <c r="A36" s="175"/>
      <c r="B36" s="176"/>
      <c r="C36" s="177"/>
      <c r="D36" s="177"/>
      <c r="E36" s="177"/>
      <c r="F36" s="177"/>
      <c r="G36" s="177"/>
      <c r="H36" s="178"/>
    </row>
    <row r="37" spans="1:8" hidden="1" x14ac:dyDescent="0.35">
      <c r="A37" s="47"/>
      <c r="C37" s="180" t="str">
        <f t="shared" ref="C37:C65" si="0">IF(G3="No", A3,"")</f>
        <v>4F</v>
      </c>
    </row>
    <row r="38" spans="1:8" hidden="1" x14ac:dyDescent="0.35">
      <c r="C38" s="180" t="str">
        <f t="shared" si="0"/>
        <v/>
      </c>
    </row>
    <row r="39" spans="1:8" hidden="1" x14ac:dyDescent="0.35">
      <c r="C39" s="180">
        <f t="shared" si="0"/>
        <v>84</v>
      </c>
    </row>
    <row r="40" spans="1:8" hidden="1" x14ac:dyDescent="0.35">
      <c r="C40" s="180" t="str">
        <f t="shared" si="0"/>
        <v/>
      </c>
    </row>
    <row r="41" spans="1:8" hidden="1" x14ac:dyDescent="0.35">
      <c r="C41" s="180" t="str">
        <f t="shared" si="0"/>
        <v>9A</v>
      </c>
    </row>
    <row r="42" spans="1:8" hidden="1" x14ac:dyDescent="0.35">
      <c r="C42" s="180" t="str">
        <f t="shared" si="0"/>
        <v/>
      </c>
    </row>
    <row r="43" spans="1:8" hidden="1" x14ac:dyDescent="0.35">
      <c r="C43" s="180" t="str">
        <f t="shared" si="0"/>
        <v>5F24</v>
      </c>
    </row>
    <row r="44" spans="1:8" hidden="1" x14ac:dyDescent="0.35">
      <c r="C44" s="180" t="str">
        <f t="shared" si="0"/>
        <v/>
      </c>
    </row>
    <row r="45" spans="1:8" hidden="1" x14ac:dyDescent="0.35">
      <c r="C45" s="180" t="str">
        <f t="shared" si="0"/>
        <v/>
      </c>
    </row>
    <row r="46" spans="1:8" hidden="1" x14ac:dyDescent="0.35">
      <c r="C46" s="180" t="str">
        <f t="shared" si="0"/>
        <v>5F34</v>
      </c>
    </row>
    <row r="47" spans="1:8" hidden="1" x14ac:dyDescent="0.35">
      <c r="C47" s="180" t="str">
        <f t="shared" si="0"/>
        <v>9F02</v>
      </c>
    </row>
    <row r="48" spans="1:8" hidden="1" x14ac:dyDescent="0.35">
      <c r="C48" s="180" t="str">
        <f t="shared" si="0"/>
        <v>9F03</v>
      </c>
    </row>
    <row r="49" spans="3:3" hidden="1" x14ac:dyDescent="0.35">
      <c r="C49" s="180" t="str">
        <f t="shared" si="0"/>
        <v>9F06</v>
      </c>
    </row>
    <row r="50" spans="3:3" hidden="1" x14ac:dyDescent="0.35">
      <c r="C50" s="180" t="str">
        <f t="shared" si="0"/>
        <v/>
      </c>
    </row>
    <row r="51" spans="3:3" hidden="1" x14ac:dyDescent="0.35">
      <c r="C51" s="180" t="str">
        <f t="shared" si="0"/>
        <v>9F09</v>
      </c>
    </row>
    <row r="52" spans="3:3" hidden="1" x14ac:dyDescent="0.35">
      <c r="C52" s="180" t="str">
        <f t="shared" si="0"/>
        <v/>
      </c>
    </row>
    <row r="53" spans="3:3" hidden="1" x14ac:dyDescent="0.35">
      <c r="C53" s="180" t="str">
        <f t="shared" si="0"/>
        <v/>
      </c>
    </row>
    <row r="54" spans="3:3" hidden="1" x14ac:dyDescent="0.35">
      <c r="C54" s="180" t="str">
        <f t="shared" si="0"/>
        <v/>
      </c>
    </row>
    <row r="55" spans="3:3" hidden="1" x14ac:dyDescent="0.35">
      <c r="C55" s="180" t="str">
        <f t="shared" si="0"/>
        <v/>
      </c>
    </row>
    <row r="56" spans="3:3" hidden="1" x14ac:dyDescent="0.35">
      <c r="C56" s="180" t="str">
        <f t="shared" si="0"/>
        <v/>
      </c>
    </row>
    <row r="57" spans="3:3" hidden="1" x14ac:dyDescent="0.35">
      <c r="C57" s="180" t="str">
        <f t="shared" si="0"/>
        <v/>
      </c>
    </row>
    <row r="58" spans="3:3" hidden="1" x14ac:dyDescent="0.35">
      <c r="C58" s="180" t="str">
        <f t="shared" si="0"/>
        <v/>
      </c>
    </row>
    <row r="59" spans="3:3" hidden="1" x14ac:dyDescent="0.35">
      <c r="C59" s="180" t="str">
        <f t="shared" si="0"/>
        <v>9F35</v>
      </c>
    </row>
    <row r="60" spans="3:3" hidden="1" x14ac:dyDescent="0.35">
      <c r="C60" s="180" t="str">
        <f t="shared" si="0"/>
        <v/>
      </c>
    </row>
    <row r="61" spans="3:3" hidden="1" x14ac:dyDescent="0.35">
      <c r="C61" s="180" t="str">
        <f t="shared" si="0"/>
        <v>9F37</v>
      </c>
    </row>
    <row r="62" spans="3:3" hidden="1" x14ac:dyDescent="0.35">
      <c r="C62" s="180" t="str">
        <f t="shared" si="0"/>
        <v>9F39</v>
      </c>
    </row>
    <row r="63" spans="3:3" hidden="1" x14ac:dyDescent="0.35">
      <c r="C63" s="180" t="str">
        <f t="shared" si="0"/>
        <v/>
      </c>
    </row>
    <row r="64" spans="3:3" hidden="1" x14ac:dyDescent="0.35">
      <c r="C64" s="180" t="str">
        <f t="shared" si="0"/>
        <v/>
      </c>
    </row>
    <row r="65" spans="3:3" hidden="1" x14ac:dyDescent="0.35">
      <c r="C65" s="180" t="str">
        <f t="shared" si="0"/>
        <v/>
      </c>
    </row>
    <row r="66" spans="3:3" hidden="1" x14ac:dyDescent="0.35">
      <c r="C66" s="180" t="str">
        <f t="shared" ref="C66:C67" si="1">IF(G33="No", A33,"")</f>
        <v/>
      </c>
    </row>
    <row r="67" spans="3:3" hidden="1" x14ac:dyDescent="0.35">
      <c r="C67" s="180" t="str">
        <f t="shared" si="1"/>
        <v/>
      </c>
    </row>
  </sheetData>
  <mergeCells count="14">
    <mergeCell ref="C35:H35"/>
    <mergeCell ref="A33:A34"/>
    <mergeCell ref="B33:B34"/>
    <mergeCell ref="C33:C34"/>
    <mergeCell ref="E33:E34"/>
    <mergeCell ref="F33:F34"/>
    <mergeCell ref="G33:G34"/>
    <mergeCell ref="A1:H1"/>
    <mergeCell ref="A30:A31"/>
    <mergeCell ref="B30:B31"/>
    <mergeCell ref="C30:C31"/>
    <mergeCell ref="F30:F31"/>
    <mergeCell ref="G30:G31"/>
    <mergeCell ref="H30:H31"/>
  </mergeCells>
  <conditionalFormatting sqref="G2:G30 G33 G36:G1048576">
    <cfRule type="containsText" dxfId="4" priority="2" operator="containsText" text="Yes">
      <formula>NOT(ISERROR(SEARCH("Yes",G2)))</formula>
    </cfRule>
    <cfRule type="containsText" dxfId="3" priority="3" operator="containsText" text="No">
      <formula>NOT(ISERROR(SEARCH("No",G2)))</formula>
    </cfRule>
  </conditionalFormatting>
  <conditionalFormatting sqref="C35:G35">
    <cfRule type="notContainsBlanks" dxfId="2" priority="1">
      <formula>LEN(TRIM(C35))&gt;0</formula>
    </cfRule>
  </conditionalFormatting>
  <dataValidations count="1">
    <dataValidation type="list" allowBlank="1" showInputMessage="1" showErrorMessage="1" sqref="G1 G3:G1048576" xr:uid="{00000000-0002-0000-1300-000000000000}">
      <formula1>"Yes, No, NA"</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C9"/>
  <sheetViews>
    <sheetView workbookViewId="0">
      <selection sqref="A1:C1048576"/>
    </sheetView>
  </sheetViews>
  <sheetFormatPr defaultRowHeight="14.5" x14ac:dyDescent="0.35"/>
  <cols>
    <col min="1" max="1" width="5.54296875" bestFit="1" customWidth="1"/>
    <col min="2" max="2" width="25.54296875" bestFit="1" customWidth="1"/>
    <col min="3" max="3" width="158.54296875" customWidth="1"/>
  </cols>
  <sheetData>
    <row r="1" spans="1:3" ht="15" thickBot="1" x14ac:dyDescent="0.4">
      <c r="A1" s="260" t="s">
        <v>553</v>
      </c>
      <c r="B1" s="261"/>
      <c r="C1" s="262"/>
    </row>
    <row r="2" spans="1:3" ht="15" thickBot="1" x14ac:dyDescent="0.4">
      <c r="A2" s="181" t="s">
        <v>464</v>
      </c>
      <c r="B2" s="103" t="s">
        <v>554</v>
      </c>
      <c r="C2" s="182" t="s">
        <v>555</v>
      </c>
    </row>
    <row r="3" spans="1:3" ht="29" x14ac:dyDescent="0.35">
      <c r="A3" s="284" t="s">
        <v>523</v>
      </c>
      <c r="B3" s="156" t="s">
        <v>556</v>
      </c>
      <c r="C3" s="183" t="s">
        <v>557</v>
      </c>
    </row>
    <row r="4" spans="1:3" ht="130.5" x14ac:dyDescent="0.35">
      <c r="A4" s="285"/>
      <c r="B4" s="161" t="s">
        <v>558</v>
      </c>
      <c r="C4" s="184" t="s">
        <v>559</v>
      </c>
    </row>
    <row r="5" spans="1:3" ht="130.5" x14ac:dyDescent="0.35">
      <c r="A5" s="185" t="s">
        <v>560</v>
      </c>
      <c r="B5" s="161" t="s">
        <v>561</v>
      </c>
      <c r="C5" s="184" t="s">
        <v>562</v>
      </c>
    </row>
    <row r="6" spans="1:3" x14ac:dyDescent="0.35">
      <c r="A6" s="286" t="s">
        <v>563</v>
      </c>
      <c r="B6" s="186" t="s">
        <v>432</v>
      </c>
      <c r="C6" s="184" t="s">
        <v>564</v>
      </c>
    </row>
    <row r="7" spans="1:3" ht="159.5" x14ac:dyDescent="0.35">
      <c r="A7" s="287"/>
      <c r="B7" s="186" t="s">
        <v>565</v>
      </c>
      <c r="C7" s="184" t="s">
        <v>566</v>
      </c>
    </row>
    <row r="8" spans="1:3" ht="159.5" x14ac:dyDescent="0.35">
      <c r="A8" s="287"/>
      <c r="B8" s="186" t="s">
        <v>567</v>
      </c>
      <c r="C8" s="184" t="s">
        <v>568</v>
      </c>
    </row>
    <row r="9" spans="1:3" ht="160" thickBot="1" x14ac:dyDescent="0.4">
      <c r="A9" s="288"/>
      <c r="B9" s="187" t="s">
        <v>569</v>
      </c>
      <c r="C9" s="188" t="s">
        <v>570</v>
      </c>
    </row>
  </sheetData>
  <mergeCells count="3">
    <mergeCell ref="A1:C1"/>
    <mergeCell ref="A3:A4"/>
    <mergeCell ref="A6:A9"/>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E30"/>
  <sheetViews>
    <sheetView topLeftCell="A13" workbookViewId="0">
      <selection activeCell="E3" sqref="E3"/>
    </sheetView>
  </sheetViews>
  <sheetFormatPr defaultRowHeight="14.5" x14ac:dyDescent="0.35"/>
  <cols>
    <col min="1" max="1" width="17.7265625" bestFit="1" customWidth="1"/>
    <col min="2" max="2" width="24.453125" bestFit="1" customWidth="1"/>
    <col min="3" max="3" width="103.7265625" bestFit="1" customWidth="1"/>
    <col min="4" max="4" width="36.7265625" customWidth="1"/>
  </cols>
  <sheetData>
    <row r="1" spans="1:5" ht="15" thickBot="1" x14ac:dyDescent="0.4">
      <c r="A1" s="289" t="s">
        <v>571</v>
      </c>
      <c r="B1" s="290"/>
      <c r="C1" s="290"/>
      <c r="D1" s="290"/>
      <c r="E1" s="291"/>
    </row>
    <row r="2" spans="1:5" ht="15" thickBot="1" x14ac:dyDescent="0.4">
      <c r="A2" s="189" t="s">
        <v>572</v>
      </c>
      <c r="B2" s="190" t="s">
        <v>573</v>
      </c>
      <c r="C2" s="191" t="s">
        <v>574</v>
      </c>
      <c r="D2" s="190" t="s">
        <v>466</v>
      </c>
      <c r="E2" s="192" t="s">
        <v>469</v>
      </c>
    </row>
    <row r="3" spans="1:5" x14ac:dyDescent="0.35">
      <c r="A3" s="193" t="s">
        <v>575</v>
      </c>
      <c r="B3" s="194" t="s">
        <v>576</v>
      </c>
      <c r="C3" s="195" t="s">
        <v>577</v>
      </c>
      <c r="D3" s="117" t="s">
        <v>578</v>
      </c>
      <c r="E3" s="140"/>
    </row>
    <row r="4" spans="1:5" x14ac:dyDescent="0.35">
      <c r="A4" s="292" t="s">
        <v>579</v>
      </c>
      <c r="B4" s="294" t="s">
        <v>499</v>
      </c>
      <c r="C4" s="109" t="s">
        <v>580</v>
      </c>
      <c r="D4" s="107" t="s">
        <v>578</v>
      </c>
      <c r="E4" s="145"/>
    </row>
    <row r="5" spans="1:5" x14ac:dyDescent="0.35">
      <c r="A5" s="293"/>
      <c r="B5" s="295"/>
      <c r="C5" s="109" t="s">
        <v>581</v>
      </c>
      <c r="D5" s="107" t="s">
        <v>578</v>
      </c>
      <c r="E5" s="145"/>
    </row>
    <row r="6" spans="1:5" ht="29" x14ac:dyDescent="0.35">
      <c r="A6" s="196" t="s">
        <v>582</v>
      </c>
      <c r="B6" s="136" t="s">
        <v>583</v>
      </c>
      <c r="C6" s="109" t="s">
        <v>584</v>
      </c>
      <c r="D6" s="107" t="s">
        <v>578</v>
      </c>
      <c r="E6" s="145"/>
    </row>
    <row r="7" spans="1:5" ht="58" x14ac:dyDescent="0.35">
      <c r="A7" s="196" t="s">
        <v>585</v>
      </c>
      <c r="B7" s="136" t="s">
        <v>586</v>
      </c>
      <c r="C7" s="197" t="s">
        <v>587</v>
      </c>
      <c r="D7" s="107" t="s">
        <v>588</v>
      </c>
      <c r="E7" s="145"/>
    </row>
    <row r="8" spans="1:5" x14ac:dyDescent="0.35">
      <c r="A8" s="292" t="s">
        <v>589</v>
      </c>
      <c r="B8" s="294" t="s">
        <v>590</v>
      </c>
      <c r="C8" s="109" t="s">
        <v>591</v>
      </c>
      <c r="D8" s="107" t="s">
        <v>578</v>
      </c>
      <c r="E8" s="145"/>
    </row>
    <row r="9" spans="1:5" x14ac:dyDescent="0.35">
      <c r="A9" s="296"/>
      <c r="B9" s="255"/>
      <c r="C9" s="109" t="s">
        <v>592</v>
      </c>
      <c r="D9" s="107" t="s">
        <v>578</v>
      </c>
      <c r="E9" s="145"/>
    </row>
    <row r="10" spans="1:5" x14ac:dyDescent="0.35">
      <c r="A10" s="293"/>
      <c r="B10" s="295"/>
      <c r="C10" s="109" t="s">
        <v>593</v>
      </c>
      <c r="D10" s="107" t="s">
        <v>578</v>
      </c>
      <c r="E10" s="145"/>
    </row>
    <row r="11" spans="1:5" x14ac:dyDescent="0.35">
      <c r="A11" s="196" t="s">
        <v>472</v>
      </c>
      <c r="B11" s="85" t="s">
        <v>594</v>
      </c>
      <c r="C11" s="109" t="s">
        <v>595</v>
      </c>
      <c r="D11" s="107" t="s">
        <v>578</v>
      </c>
      <c r="E11" s="145"/>
    </row>
    <row r="12" spans="1:5" ht="87" x14ac:dyDescent="0.35">
      <c r="A12" s="196" t="s">
        <v>596</v>
      </c>
      <c r="B12" s="85" t="s">
        <v>597</v>
      </c>
      <c r="C12" s="197" t="s">
        <v>598</v>
      </c>
      <c r="D12" s="107" t="s">
        <v>578</v>
      </c>
      <c r="E12" s="145"/>
    </row>
    <row r="13" spans="1:5" ht="72.5" x14ac:dyDescent="0.35">
      <c r="A13" s="196" t="s">
        <v>599</v>
      </c>
      <c r="B13" s="136" t="s">
        <v>600</v>
      </c>
      <c r="C13" s="197" t="s">
        <v>601</v>
      </c>
      <c r="D13" s="107" t="s">
        <v>578</v>
      </c>
      <c r="E13" s="145"/>
    </row>
    <row r="14" spans="1:5" ht="43.5" x14ac:dyDescent="0.35">
      <c r="A14" s="196" t="s">
        <v>602</v>
      </c>
      <c r="B14" s="85" t="s">
        <v>576</v>
      </c>
      <c r="C14" s="197" t="s">
        <v>603</v>
      </c>
      <c r="D14" s="107" t="s">
        <v>578</v>
      </c>
      <c r="E14" s="145"/>
    </row>
    <row r="15" spans="1:5" ht="29.5" thickBot="1" x14ac:dyDescent="0.4">
      <c r="A15" s="198" t="s">
        <v>604</v>
      </c>
      <c r="B15" s="199" t="s">
        <v>605</v>
      </c>
      <c r="C15" s="200" t="s">
        <v>606</v>
      </c>
      <c r="D15" s="201" t="s">
        <v>607</v>
      </c>
      <c r="E15" s="149"/>
    </row>
    <row r="16" spans="1:5" ht="15" thickBot="1" x14ac:dyDescent="0.4">
      <c r="A16" s="202"/>
      <c r="B16" s="203" t="s">
        <v>608</v>
      </c>
      <c r="C16" s="204" t="str">
        <f>SUBSTITUTE(TRIM(CONCATENATE(C18," ",C19," ",C20," ",C21," ",C22," ",C23," ",C24," ",C25," ",C26," ",C27," ",C28," ",C29," ",C30))," ",", ")</f>
        <v/>
      </c>
      <c r="D16" s="205"/>
      <c r="E16" s="206"/>
    </row>
    <row r="17" spans="1:5" ht="15" thickBot="1" x14ac:dyDescent="0.4">
      <c r="A17" s="207"/>
      <c r="B17" s="208"/>
      <c r="C17" s="208"/>
      <c r="D17" s="208"/>
      <c r="E17" s="209"/>
    </row>
    <row r="18" spans="1:5" hidden="1" x14ac:dyDescent="0.35">
      <c r="C18" s="60" t="str">
        <f>IF(E3="No",A3,"")</f>
        <v/>
      </c>
    </row>
    <row r="19" spans="1:5" hidden="1" x14ac:dyDescent="0.35">
      <c r="C19" s="60" t="str">
        <f>IF(E4="No",A4,"")</f>
        <v/>
      </c>
    </row>
    <row r="20" spans="1:5" hidden="1" x14ac:dyDescent="0.35">
      <c r="C20" s="60" t="str">
        <f t="shared" ref="C20:C30" si="0">IF(E5="No",A5,"")</f>
        <v/>
      </c>
    </row>
    <row r="21" spans="1:5" hidden="1" x14ac:dyDescent="0.35">
      <c r="C21" s="60" t="str">
        <f t="shared" si="0"/>
        <v/>
      </c>
    </row>
    <row r="22" spans="1:5" hidden="1" x14ac:dyDescent="0.35">
      <c r="C22" s="60" t="str">
        <f t="shared" si="0"/>
        <v/>
      </c>
    </row>
    <row r="23" spans="1:5" hidden="1" x14ac:dyDescent="0.35">
      <c r="C23" s="60" t="str">
        <f t="shared" si="0"/>
        <v/>
      </c>
    </row>
    <row r="24" spans="1:5" hidden="1" x14ac:dyDescent="0.35">
      <c r="C24" s="60" t="str">
        <f t="shared" si="0"/>
        <v/>
      </c>
    </row>
    <row r="25" spans="1:5" hidden="1" x14ac:dyDescent="0.35">
      <c r="C25" s="60" t="str">
        <f t="shared" si="0"/>
        <v/>
      </c>
    </row>
    <row r="26" spans="1:5" hidden="1" x14ac:dyDescent="0.35">
      <c r="C26" s="60" t="str">
        <f t="shared" si="0"/>
        <v/>
      </c>
    </row>
    <row r="27" spans="1:5" hidden="1" x14ac:dyDescent="0.35">
      <c r="C27" s="60" t="str">
        <f t="shared" si="0"/>
        <v/>
      </c>
    </row>
    <row r="28" spans="1:5" hidden="1" x14ac:dyDescent="0.35">
      <c r="C28" s="60" t="str">
        <f t="shared" si="0"/>
        <v/>
      </c>
    </row>
    <row r="29" spans="1:5" hidden="1" x14ac:dyDescent="0.35">
      <c r="C29" s="60" t="str">
        <f t="shared" si="0"/>
        <v/>
      </c>
    </row>
    <row r="30" spans="1:5" hidden="1" x14ac:dyDescent="0.35">
      <c r="C30" s="60" t="str">
        <f t="shared" si="0"/>
        <v/>
      </c>
    </row>
  </sheetData>
  <mergeCells count="5">
    <mergeCell ref="A1:E1"/>
    <mergeCell ref="A4:A5"/>
    <mergeCell ref="B4:B5"/>
    <mergeCell ref="A8:A10"/>
    <mergeCell ref="B8:B10"/>
  </mergeCells>
  <conditionalFormatting sqref="E2:E1048576">
    <cfRule type="containsText" dxfId="1" priority="1" operator="containsText" text="No">
      <formula>NOT(ISERROR(SEARCH("No",E2)))</formula>
    </cfRule>
    <cfRule type="containsText" dxfId="0" priority="2" operator="containsText" text="Yes">
      <formula>NOT(ISERROR(SEARCH("Yes",E2)))</formula>
    </cfRule>
  </conditionalFormatting>
  <dataValidations count="1">
    <dataValidation type="list" allowBlank="1" showInputMessage="1" showErrorMessage="1" sqref="E1:E1048576" xr:uid="{00000000-0002-0000-1500-000000000000}">
      <formula1>"Yes, No, NA"</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Instructions</vt:lpstr>
      <vt:lpstr>Overview</vt:lpstr>
      <vt:lpstr>Gantt</vt:lpstr>
      <vt:lpstr>Test Summary</vt:lpstr>
      <vt:lpstr>Field Options</vt:lpstr>
      <vt:lpstr>AMEX CT</vt:lpstr>
      <vt:lpstr>AMEX CTL</vt:lpstr>
      <vt:lpstr>AMEX QC</vt:lpstr>
      <vt:lpstr>Discover CT</vt:lpstr>
      <vt:lpstr>Discover CTL</vt:lpstr>
      <vt:lpstr>FD Superset</vt:lpstr>
      <vt:lpstr>MasterCard</vt:lpstr>
      <vt:lpstr>VISA CT</vt:lpstr>
      <vt:lpstr>VISA CTL</vt:lpstr>
      <vt:lpstr>VISA US Debit</vt:lpstr>
      <vt:lpstr>Interac</vt:lpstr>
      <vt:lpstr>DNA</vt:lpstr>
      <vt:lpstr>Action List</vt:lpstr>
      <vt:lpstr>Manual checks</vt:lpstr>
      <vt:lpstr>Required Tags</vt:lpstr>
      <vt:lpstr>Tag References</vt:lpstr>
      <vt:lpstr>Receipt checks</vt:lpstr>
      <vt:lpstr>'VISA US Debit'!_MailEndCompose</vt:lpstr>
    </vt:vector>
  </TitlesOfParts>
  <Company>Underwriters Laboratories (UL)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 Yilin</dc:creator>
  <cp:lastModifiedBy>Muthakana, Virendra</cp:lastModifiedBy>
  <cp:lastPrinted>2018-05-11T19:38:03Z</cp:lastPrinted>
  <dcterms:created xsi:type="dcterms:W3CDTF">2016-09-28T17:59:13Z</dcterms:created>
  <dcterms:modified xsi:type="dcterms:W3CDTF">2018-11-30T16:22:43Z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a62589d2-4e13-4828-87c4-1f5b3d1c4fcc</vt:lpwstr>
  </property>
</Properties>
</file>