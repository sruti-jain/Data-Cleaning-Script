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832\Downloads\projects\AMEX Certpro Manual Checks\Certpro Proj Docs\Python\"/>
    </mc:Choice>
  </mc:AlternateContent>
  <xr:revisionPtr revIDLastSave="0" documentId="10_ncr:100000_{85F6F531-32C7-4059-B404-8F780554C25A}" xr6:coauthVersionLast="31" xr6:coauthVersionMax="31" xr10:uidLastSave="{00000000-0000-0000-0000-000000000000}"/>
  <bookViews>
    <workbookView xWindow="0" yWindow="0" windowWidth="21160" windowHeight="8950" activeTab="4" xr2:uid="{00000000-000D-0000-FFFF-FFFF00000000}"/>
  </bookViews>
  <sheets>
    <sheet name="Overview" sheetId="18" r:id="rId1"/>
    <sheet name="Gantt" sheetId="20" state="hidden" r:id="rId2"/>
    <sheet name="Test Summary" sheetId="1" r:id="rId3"/>
    <sheet name="Field Options" sheetId="19" state="hidden" r:id="rId4"/>
    <sheet name="AMEX CT" sheetId="16" r:id="rId5"/>
    <sheet name="AMEX CTL" sheetId="17" state="hidden" r:id="rId6"/>
    <sheet name="AMEX QC" sheetId="21" state="hidden" r:id="rId7"/>
    <sheet name="Discover CT" sheetId="4" r:id="rId8"/>
    <sheet name="Instructions" sheetId="23" state="hidden" r:id="rId9"/>
    <sheet name="Discover CTL" sheetId="14" state="hidden" r:id="rId10"/>
    <sheet name="FD Superset" sheetId="22" state="hidden" r:id="rId11"/>
    <sheet name="MasterCard" sheetId="15" r:id="rId12"/>
    <sheet name="VISA CT" sheetId="8" r:id="rId13"/>
    <sheet name="VISA CTL" sheetId="7" state="hidden" r:id="rId14"/>
    <sheet name="VISA US Debit" sheetId="9" r:id="rId15"/>
    <sheet name="Interac" sheetId="5" state="hidden" r:id="rId16"/>
    <sheet name="DNA" sheetId="3" state="hidden" r:id="rId17"/>
  </sheets>
  <definedNames>
    <definedName name="_xlnm._FilterDatabase" localSheetId="2" hidden="1">'Test Summary'!$A$1:$E$13</definedName>
    <definedName name="_MailEndCompose" localSheetId="14">'VISA US Debit'!$F$5</definedName>
    <definedName name="BP">#REF!</definedName>
    <definedName name="Buypass">#REF!</definedName>
    <definedName name="_xlnm.Criteria" localSheetId="2">'Test Summary'!#REF!</definedName>
    <definedName name="FDFE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" "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N">#REF!</definedName>
    <definedName name="North_Nashville">#REF!</definedName>
    <definedName name="Omaha">#REF!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  <c r="G5" i="18"/>
  <c r="G6" i="18" s="1"/>
  <c r="G7" i="18" s="1"/>
  <c r="B20" i="1" l="1"/>
  <c r="G8" i="18"/>
  <c r="G9" i="18" s="1"/>
  <c r="G10" i="18" s="1"/>
  <c r="D3" i="19"/>
  <c r="D4" i="19" s="1"/>
  <c r="H3" i="18" s="1"/>
  <c r="C3" i="20" l="1"/>
  <c r="F3" i="1" l="1"/>
  <c r="F4" i="1"/>
  <c r="F5" i="1"/>
  <c r="F6" i="1"/>
  <c r="F7" i="1"/>
  <c r="F8" i="1"/>
  <c r="F9" i="1"/>
  <c r="F10" i="1"/>
  <c r="F11" i="1"/>
  <c r="F12" i="1"/>
  <c r="F13" i="1"/>
  <c r="F2" i="1"/>
  <c r="B4" i="22"/>
  <c r="B3" i="22"/>
  <c r="B2" i="22"/>
  <c r="B1" i="22"/>
  <c r="B4" i="21"/>
  <c r="B3" i="21"/>
  <c r="B2" i="21"/>
  <c r="B1" i="21"/>
  <c r="C17" i="20"/>
  <c r="C16" i="20"/>
  <c r="E10" i="20"/>
  <c r="C11" i="20" s="1"/>
  <c r="E11" i="20"/>
  <c r="C12" i="20" s="1"/>
  <c r="E12" i="20"/>
  <c r="C13" i="20" s="1"/>
  <c r="E13" i="20"/>
  <c r="C14" i="20" s="1"/>
  <c r="E14" i="20"/>
  <c r="E9" i="20"/>
  <c r="C9" i="20"/>
  <c r="D4" i="1" l="1"/>
  <c r="E7" i="1"/>
  <c r="B7" i="1"/>
  <c r="C7" i="1"/>
  <c r="D7" i="1"/>
  <c r="B4" i="1"/>
  <c r="E4" i="1"/>
  <c r="C4" i="1"/>
  <c r="D9" i="20"/>
  <c r="D14" i="20"/>
  <c r="C10" i="20"/>
  <c r="D10" i="20" s="1"/>
  <c r="D11" i="20"/>
  <c r="D12" i="20"/>
  <c r="D13" i="20"/>
  <c r="E3" i="20" l="1"/>
  <c r="B12" i="18"/>
  <c r="L1" i="1" l="1"/>
  <c r="C4" i="20"/>
  <c r="D3" i="20"/>
  <c r="N1" i="1"/>
  <c r="E4" i="20"/>
  <c r="C5" i="20" s="1"/>
  <c r="B4" i="17"/>
  <c r="E3" i="1" s="1"/>
  <c r="B3" i="17"/>
  <c r="D3" i="1" s="1"/>
  <c r="B2" i="17"/>
  <c r="C3" i="1" s="1"/>
  <c r="B1" i="17"/>
  <c r="B3" i="1" s="1"/>
  <c r="E2" i="1"/>
  <c r="D2" i="1"/>
  <c r="C2" i="1"/>
  <c r="B2" i="1"/>
  <c r="B4" i="15"/>
  <c r="E8" i="1" s="1"/>
  <c r="B3" i="15"/>
  <c r="D8" i="1" s="1"/>
  <c r="B2" i="15"/>
  <c r="C8" i="1" s="1"/>
  <c r="B1" i="15"/>
  <c r="B8" i="1" s="1"/>
  <c r="B4" i="14"/>
  <c r="E6" i="1" s="1"/>
  <c r="B3" i="14"/>
  <c r="D6" i="1" s="1"/>
  <c r="B2" i="14"/>
  <c r="C6" i="1" s="1"/>
  <c r="B1" i="14"/>
  <c r="B6" i="1" s="1"/>
  <c r="E5" i="20" l="1"/>
  <c r="D4" i="20"/>
  <c r="E6" i="20" l="1"/>
  <c r="C6" i="20"/>
  <c r="D5" i="20"/>
  <c r="E7" i="20" l="1"/>
  <c r="C7" i="20"/>
  <c r="D6" i="20"/>
  <c r="C8" i="20" l="1"/>
  <c r="D7" i="20"/>
  <c r="E8" i="20"/>
  <c r="D8" i="20" l="1"/>
  <c r="B2" i="9" l="1"/>
  <c r="C11" i="1" s="1"/>
  <c r="B1" i="9"/>
  <c r="B11" i="1" s="1"/>
  <c r="B3" i="9"/>
  <c r="D11" i="1" s="1"/>
  <c r="B4" i="9"/>
  <c r="E11" i="1" s="1"/>
  <c r="B3" i="8"/>
  <c r="D9" i="1" s="1"/>
  <c r="B2" i="8"/>
  <c r="C9" i="1" s="1"/>
  <c r="B1" i="8"/>
  <c r="B9" i="1" s="1"/>
  <c r="B4" i="8"/>
  <c r="E9" i="1" s="1"/>
  <c r="B3" i="7"/>
  <c r="D10" i="1" s="1"/>
  <c r="B2" i="7"/>
  <c r="C10" i="1" s="1"/>
  <c r="B1" i="7"/>
  <c r="B10" i="1" s="1"/>
  <c r="B4" i="7"/>
  <c r="E10" i="1" s="1"/>
  <c r="B3" i="5"/>
  <c r="D12" i="1" s="1"/>
  <c r="B2" i="5"/>
  <c r="C12" i="1" s="1"/>
  <c r="B1" i="5"/>
  <c r="B12" i="1" s="1"/>
  <c r="B4" i="5"/>
  <c r="E12" i="1" s="1"/>
  <c r="D5" i="1"/>
  <c r="C5" i="1"/>
  <c r="B5" i="1"/>
  <c r="E5" i="1"/>
  <c r="B3" i="3"/>
  <c r="D13" i="1" s="1"/>
  <c r="B2" i="3"/>
  <c r="C13" i="1" s="1"/>
  <c r="B1" i="3"/>
  <c r="B13" i="1" s="1"/>
  <c r="B4" i="3"/>
  <c r="E13" i="1" s="1"/>
  <c r="B16" i="1" l="1"/>
  <c r="B17" i="1" l="1"/>
  <c r="J1" i="1" s="1"/>
  <c r="H1" i="1"/>
</calcChain>
</file>

<file path=xl/sharedStrings.xml><?xml version="1.0" encoding="utf-8"?>
<sst xmlns="http://schemas.openxmlformats.org/spreadsheetml/2006/main" count="890" uniqueCount="423">
  <si>
    <t>Test Case</t>
  </si>
  <si>
    <t>Pass</t>
  </si>
  <si>
    <t>Fail</t>
  </si>
  <si>
    <t>Pending</t>
  </si>
  <si>
    <t>Sum</t>
  </si>
  <si>
    <t>Result</t>
  </si>
  <si>
    <t>E2E 45</t>
  </si>
  <si>
    <t>E2E 46</t>
  </si>
  <si>
    <t>E2E 47</t>
  </si>
  <si>
    <t>E2E 48</t>
  </si>
  <si>
    <t>E2E 50</t>
  </si>
  <si>
    <t>E2E 53</t>
  </si>
  <si>
    <t>E2E 54</t>
  </si>
  <si>
    <t>E2E 55</t>
  </si>
  <si>
    <t>ADVT 1A.4</t>
  </si>
  <si>
    <t>ADVT 2A.1</t>
  </si>
  <si>
    <t>ADVT 1A.1</t>
  </si>
  <si>
    <t>ADVT 1A.5</t>
  </si>
  <si>
    <t>Terminal TC-01</t>
  </si>
  <si>
    <t>Terminal TC-02</t>
  </si>
  <si>
    <t>Terminal TC-03</t>
  </si>
  <si>
    <t>Terminal TC-04</t>
  </si>
  <si>
    <t>Terminal TC-05</t>
  </si>
  <si>
    <t>Terminal TC-08</t>
  </si>
  <si>
    <t>Terminal TC-09</t>
  </si>
  <si>
    <t>Terminal TC-09B</t>
  </si>
  <si>
    <t>Terminal TC-13</t>
  </si>
  <si>
    <t>Terminal TC-14</t>
  </si>
  <si>
    <t>Terminal TC-15</t>
  </si>
  <si>
    <t>Terminal TC-16</t>
  </si>
  <si>
    <t>Terminal TC-17</t>
  </si>
  <si>
    <t>Terminal TC-18</t>
  </si>
  <si>
    <t>Terminal TC-19</t>
  </si>
  <si>
    <t>Terminal TC-20</t>
  </si>
  <si>
    <t>Terminal TC-21</t>
  </si>
  <si>
    <t>Terminal TC-22C</t>
  </si>
  <si>
    <t>Terminal TC-23</t>
  </si>
  <si>
    <t>Terminal TC-25</t>
  </si>
  <si>
    <t>Terminal TC-26</t>
  </si>
  <si>
    <t>Terminal TC-27</t>
  </si>
  <si>
    <t>Terminal TC-29</t>
  </si>
  <si>
    <t>Terminal TC-30</t>
  </si>
  <si>
    <t>Terminal TC-31</t>
  </si>
  <si>
    <t>Terminal TC-33</t>
  </si>
  <si>
    <t>Terminal TC-34</t>
  </si>
  <si>
    <t>Terminal TC-35</t>
  </si>
  <si>
    <t>Terminal TC-36</t>
  </si>
  <si>
    <t>Terminal TC-40</t>
  </si>
  <si>
    <t>UL Notes</t>
  </si>
  <si>
    <t>DNA</t>
  </si>
  <si>
    <t>E2E 57</t>
  </si>
  <si>
    <t>E2E 58</t>
  </si>
  <si>
    <t>E2E 59</t>
  </si>
  <si>
    <t>E2E 60</t>
  </si>
  <si>
    <t>E2E 63</t>
  </si>
  <si>
    <t>Card01</t>
  </si>
  <si>
    <t>Card02</t>
  </si>
  <si>
    <t>Data01</t>
  </si>
  <si>
    <t>Data02</t>
  </si>
  <si>
    <t>Data03</t>
  </si>
  <si>
    <t>Data04</t>
  </si>
  <si>
    <t>Data06</t>
  </si>
  <si>
    <t>Data08</t>
  </si>
  <si>
    <t>Data09</t>
  </si>
  <si>
    <t>Data10</t>
  </si>
  <si>
    <t>Data13</t>
  </si>
  <si>
    <t>EndToEnd09</t>
  </si>
  <si>
    <t>Function01</t>
  </si>
  <si>
    <t>Function02</t>
  </si>
  <si>
    <t>Function07</t>
  </si>
  <si>
    <t>Function08</t>
  </si>
  <si>
    <t>Function17</t>
  </si>
  <si>
    <t>Function20</t>
  </si>
  <si>
    <t>Function21</t>
  </si>
  <si>
    <t>Function23</t>
  </si>
  <si>
    <t>Function24</t>
  </si>
  <si>
    <t>Function25</t>
  </si>
  <si>
    <t>Inter01</t>
  </si>
  <si>
    <t>Inter02</t>
  </si>
  <si>
    <t>Inter03</t>
  </si>
  <si>
    <t>Inter04</t>
  </si>
  <si>
    <t>Inter05</t>
  </si>
  <si>
    <t>Offline01</t>
  </si>
  <si>
    <t>Offline02</t>
  </si>
  <si>
    <t>Other01</t>
  </si>
  <si>
    <t>Other02</t>
  </si>
  <si>
    <t>Other03</t>
  </si>
  <si>
    <t>Select01</t>
  </si>
  <si>
    <t>Select02</t>
  </si>
  <si>
    <t>Select03</t>
  </si>
  <si>
    <t>Select04</t>
  </si>
  <si>
    <t>Select05</t>
  </si>
  <si>
    <t>Select06</t>
  </si>
  <si>
    <t>Select08</t>
  </si>
  <si>
    <t>Select09</t>
  </si>
  <si>
    <t>Select10</t>
  </si>
  <si>
    <t>Select11</t>
  </si>
  <si>
    <t>Select13</t>
  </si>
  <si>
    <t>Select14</t>
  </si>
  <si>
    <t>Select15</t>
  </si>
  <si>
    <t>Select16</t>
  </si>
  <si>
    <t>Select17</t>
  </si>
  <si>
    <t>Select18</t>
  </si>
  <si>
    <t>Select18a</t>
  </si>
  <si>
    <t>Select19</t>
  </si>
  <si>
    <t>Select20</t>
  </si>
  <si>
    <t>Select20a</t>
  </si>
  <si>
    <t>Select21</t>
  </si>
  <si>
    <t>Select22</t>
  </si>
  <si>
    <t>Select23</t>
  </si>
  <si>
    <t>Select25</t>
  </si>
  <si>
    <t>Select36</t>
  </si>
  <si>
    <t>Select37</t>
  </si>
  <si>
    <t>Select38</t>
  </si>
  <si>
    <t>Interac</t>
  </si>
  <si>
    <t>MasterCard</t>
  </si>
  <si>
    <t>ADVT 3A.1</t>
  </si>
  <si>
    <t>Start</t>
  </si>
  <si>
    <t>Today</t>
  </si>
  <si>
    <t>Days Spent</t>
  </si>
  <si>
    <t>Days Remaining</t>
  </si>
  <si>
    <t>AXP EP003</t>
  </si>
  <si>
    <t>AXP EP004</t>
  </si>
  <si>
    <t>AXP EP005</t>
  </si>
  <si>
    <t>AXP EP006</t>
  </si>
  <si>
    <t>AXP EP008</t>
  </si>
  <si>
    <t>AXP EP010</t>
  </si>
  <si>
    <t>AXP EP011</t>
  </si>
  <si>
    <t>AXP EP012</t>
  </si>
  <si>
    <t>AXP EP013</t>
  </si>
  <si>
    <t>AXP EP014</t>
  </si>
  <si>
    <t>AXP EP015</t>
  </si>
  <si>
    <t>AXP EP016</t>
  </si>
  <si>
    <t>AXP EP017</t>
  </si>
  <si>
    <t>AXP EP018</t>
  </si>
  <si>
    <t>AXP EP019</t>
  </si>
  <si>
    <t>AXP EP020</t>
  </si>
  <si>
    <t>AXP EP021</t>
  </si>
  <si>
    <t>AXP EP023</t>
  </si>
  <si>
    <t>AXP EP033</t>
  </si>
  <si>
    <t>AXP EP035</t>
  </si>
  <si>
    <t>UL Review</t>
  </si>
  <si>
    <t>E2E CL 01</t>
  </si>
  <si>
    <t>E2E CL 02</t>
  </si>
  <si>
    <t>E2E CL 03</t>
  </si>
  <si>
    <t>E2E CL 04</t>
  </si>
  <si>
    <t>E2E CL 05</t>
  </si>
  <si>
    <t>E2E CL 07</t>
  </si>
  <si>
    <t>E2E CL 08</t>
  </si>
  <si>
    <t>E2E CL 09</t>
  </si>
  <si>
    <t>E2E CL 10</t>
  </si>
  <si>
    <t>E2E CL 11</t>
  </si>
  <si>
    <t>E2E CL 12</t>
  </si>
  <si>
    <t>E2E CL 14</t>
  </si>
  <si>
    <t>E2E CL 15</t>
  </si>
  <si>
    <t>E2E CL 16</t>
  </si>
  <si>
    <t>E2E CL 17</t>
  </si>
  <si>
    <t>E2E CL 18</t>
  </si>
  <si>
    <t>E2E CL 19</t>
  </si>
  <si>
    <t>E2E CL 20</t>
  </si>
  <si>
    <t>E2E CL 21</t>
  </si>
  <si>
    <t>E2E CL 23</t>
  </si>
  <si>
    <t>E2E CL 24</t>
  </si>
  <si>
    <t>E2E CL 26</t>
  </si>
  <si>
    <t>E2E CL 27</t>
  </si>
  <si>
    <t>E2E CL 28</t>
  </si>
  <si>
    <t>E2E CL 30</t>
  </si>
  <si>
    <t>E2E CL 31</t>
  </si>
  <si>
    <t>E2E CL 32</t>
  </si>
  <si>
    <t>E2E CL 33</t>
  </si>
  <si>
    <t>Test Case 01</t>
  </si>
  <si>
    <t>Test Case 02</t>
  </si>
  <si>
    <t>Test Case 03</t>
  </si>
  <si>
    <t>Test Case 04</t>
  </si>
  <si>
    <t>Test Case 06</t>
  </si>
  <si>
    <t>Test Case 07</t>
  </si>
  <si>
    <t>Test Case 09</t>
  </si>
  <si>
    <t>Test Case 10</t>
  </si>
  <si>
    <t>Test Case 11</t>
  </si>
  <si>
    <t>Test Case 12</t>
  </si>
  <si>
    <t>Test Case 14</t>
  </si>
  <si>
    <t xml:space="preserve">General Info: </t>
  </si>
  <si>
    <t>Client Name</t>
  </si>
  <si>
    <t>CertPro ID</t>
  </si>
  <si>
    <t>Current Step</t>
  </si>
  <si>
    <t>Interface to be Certified</t>
  </si>
  <si>
    <t>Transaction Type</t>
  </si>
  <si>
    <t>PwP ID/ Cert ID</t>
  </si>
  <si>
    <t>Step 1 - EMV Onboarding</t>
  </si>
  <si>
    <t>Step 2 - EMV Setup</t>
  </si>
  <si>
    <t>Step 3 - Test Execution</t>
  </si>
  <si>
    <t>Step 4 - Pre-Validation</t>
  </si>
  <si>
    <t>Step 5 - Validation</t>
  </si>
  <si>
    <t>Step 6 - Approval</t>
  </si>
  <si>
    <t>Contact Only</t>
  </si>
  <si>
    <t>Contactless Only</t>
  </si>
  <si>
    <t>Contact + Contactless</t>
  </si>
  <si>
    <t>Debit Only</t>
  </si>
  <si>
    <t>Credit Only</t>
  </si>
  <si>
    <t>Credit + Debit</t>
  </si>
  <si>
    <t xml:space="preserve">Key Actors: </t>
  </si>
  <si>
    <t>FD Cert Analyst</t>
  </si>
  <si>
    <t>FD Relationship Manager</t>
  </si>
  <si>
    <t>UL Cert Analyst</t>
  </si>
  <si>
    <t>Name</t>
  </si>
  <si>
    <t xml:space="preserve">Project Planning: </t>
  </si>
  <si>
    <t>Kick-Off Meeting Date</t>
  </si>
  <si>
    <t>Target Completion Date</t>
  </si>
  <si>
    <t>Actual Completion Date</t>
  </si>
  <si>
    <t>UL Holidays</t>
  </si>
  <si>
    <t>New Year's Day</t>
  </si>
  <si>
    <t>MLK Day</t>
  </si>
  <si>
    <t>Memorial Day</t>
  </si>
  <si>
    <t>Independence Day</t>
  </si>
  <si>
    <t>Labor Day</t>
  </si>
  <si>
    <t>Thanksgiving Day</t>
  </si>
  <si>
    <t>Day after Thanksgiving</t>
  </si>
  <si>
    <t>Christmas Eve</t>
  </si>
  <si>
    <t>Chrstmas Day</t>
  </si>
  <si>
    <t xml:space="preserve">Certification Scope: </t>
  </si>
  <si>
    <t>Test Plan</t>
  </si>
  <si>
    <t>Included?</t>
  </si>
  <si>
    <t>Certification Progress Report</t>
  </si>
  <si>
    <t>v1.0</t>
  </si>
  <si>
    <t>First Data Superset</t>
  </si>
  <si>
    <t>Visa Contact</t>
  </si>
  <si>
    <t>Visa Contactless</t>
  </si>
  <si>
    <t>Visa US Debit</t>
  </si>
  <si>
    <t xml:space="preserve">American Express Contact </t>
  </si>
  <si>
    <t xml:space="preserve">American Express Contactless </t>
  </si>
  <si>
    <t xml:space="preserve">American Express Quick Chip </t>
  </si>
  <si>
    <t xml:space="preserve">Discover Contact </t>
  </si>
  <si>
    <t xml:space="preserve">Discover Contactless </t>
  </si>
  <si>
    <t>Yes or No</t>
  </si>
  <si>
    <t>No</t>
  </si>
  <si>
    <t>Yes</t>
  </si>
  <si>
    <t>Task</t>
  </si>
  <si>
    <t xml:space="preserve">Duration </t>
  </si>
  <si>
    <t>End</t>
  </si>
  <si>
    <t>P1 - EMV Onboarding</t>
  </si>
  <si>
    <t>P2 - EMV Setup</t>
  </si>
  <si>
    <t>P3 - Test Execution</t>
  </si>
  <si>
    <t>P4 - Pre-Validation</t>
  </si>
  <si>
    <t>P5 - Validation</t>
  </si>
  <si>
    <t>P6 - Approval</t>
  </si>
  <si>
    <t>A1 - EMV Onboarding</t>
  </si>
  <si>
    <t>A2 - EMV Setup</t>
  </si>
  <si>
    <t>A3 - Test Execution</t>
  </si>
  <si>
    <t>A4 - Pre-Validation</t>
  </si>
  <si>
    <t>A5 - Validation</t>
  </si>
  <si>
    <t>A6 - Approval</t>
  </si>
  <si>
    <t>Assigned to</t>
  </si>
  <si>
    <t>P - Planned</t>
  </si>
  <si>
    <t>A - Actual</t>
  </si>
  <si>
    <t>Total</t>
  </si>
  <si>
    <t>AXP QC003</t>
  </si>
  <si>
    <t>AXP QC004</t>
  </si>
  <si>
    <t>AXP QC005</t>
  </si>
  <si>
    <t>AXP QC006</t>
  </si>
  <si>
    <t>AXP QC008</t>
  </si>
  <si>
    <t>AXP QC010</t>
  </si>
  <si>
    <t>AXP QC011</t>
  </si>
  <si>
    <t>AXP QC012</t>
  </si>
  <si>
    <t>AXP QC013</t>
  </si>
  <si>
    <t>AXP QC014</t>
  </si>
  <si>
    <t>AXP QC015</t>
  </si>
  <si>
    <t>AXP QC016</t>
  </si>
  <si>
    <t>AXP QC017</t>
  </si>
  <si>
    <t>AXP QC018</t>
  </si>
  <si>
    <t>AXP QC019</t>
  </si>
  <si>
    <t>AXP QC020</t>
  </si>
  <si>
    <t>AXP QC021</t>
  </si>
  <si>
    <t>AXP QC023</t>
  </si>
  <si>
    <t>AXP QC033</t>
  </si>
  <si>
    <t>AXP QC035</t>
  </si>
  <si>
    <t>Please select…</t>
  </si>
  <si>
    <t>&lt;&lt;Client Name&gt;&gt;</t>
  </si>
  <si>
    <t>Applicability</t>
  </si>
  <si>
    <t>Fail&amp;Pending</t>
  </si>
  <si>
    <t>Certification Progress Form Help</t>
  </si>
  <si>
    <t>Active Business Days</t>
  </si>
  <si>
    <t>Remaining Business Days</t>
  </si>
  <si>
    <t>** Note: [] Refers to the location of the cell.</t>
  </si>
  <si>
    <t>General</t>
  </si>
  <si>
    <t>[C15-C26]</t>
  </si>
  <si>
    <t>[C9-C12]</t>
  </si>
  <si>
    <t xml:space="preserve">Key Actors: FD Cert Analyst, FD Relationship Manager, UL Cert Analyst, and Client's names will appear in the drop down for "Assigned to" column in enabled test plan tab. </t>
  </si>
  <si>
    <t xml:space="preserve">[C6] </t>
  </si>
  <si>
    <t>It's okay to add tabs to the workbook</t>
  </si>
  <si>
    <t>[G3]</t>
  </si>
  <si>
    <t>Tab --&gt; Overview</t>
  </si>
  <si>
    <t>Tab --&gt; Test Summary</t>
  </si>
  <si>
    <t xml:space="preserve">Certification Scope: If a test plan is included in certification please select "Yes". It will enable the corresponding test plan tab. </t>
  </si>
  <si>
    <t>General Info: Current Step -&gt; "Step 3 - Test Execution" will activate the "Passed test cases VS Active business days" chart in Tab Test Summary</t>
  </si>
  <si>
    <t xml:space="preserve">Project Planning: All target dates are based on the KOM meeting date. </t>
  </si>
  <si>
    <t xml:space="preserve">Only the activated test plans in Certification Scope will show up here. </t>
  </si>
  <si>
    <t>Tab --&gt; Test Plans (AMEX CT, Discover CT, MasterCard, etc)</t>
  </si>
  <si>
    <t>[A1-A4]</t>
  </si>
  <si>
    <t xml:space="preserve">The test results sum-up are automatic. Please do not modify. </t>
  </si>
  <si>
    <t xml:space="preserve">Please make sure that all test cases are included in the test case table. You can do so by dragging the little angle symbol at the bottom right corner. </t>
  </si>
  <si>
    <t>Please copy and paste over the test cases that are applicable for your project from CertPro without format or right click Paste Options --&gt; Match Destination Formatting (M).</t>
  </si>
  <si>
    <t>Please DO NOT modify the first 4 columns (A to D). It's okay to add columns if needed.</t>
  </si>
  <si>
    <t>DO NOT DELETE any existing tab from this workbook.</t>
  </si>
  <si>
    <t>FD Holidays (Addition)</t>
  </si>
  <si>
    <t>President's Day</t>
  </si>
  <si>
    <t>Veterans Day</t>
  </si>
  <si>
    <t>TVR</t>
  </si>
  <si>
    <t>Unpredictable number</t>
  </si>
  <si>
    <t>amount</t>
  </si>
  <si>
    <t>Credit/Debit</t>
  </si>
  <si>
    <t>approved/Decline</t>
  </si>
  <si>
    <t>CVM perfomred</t>
  </si>
  <si>
    <t>TX ID</t>
  </si>
  <si>
    <t>POS entry Mode</t>
  </si>
  <si>
    <t>9F 33</t>
  </si>
  <si>
    <t>Executed on</t>
  </si>
  <si>
    <t>Stan</t>
  </si>
  <si>
    <t>Unable to unplug the internet connectivity. Please ignore the failure.</t>
  </si>
  <si>
    <t>Raised issue with FD on back end response issue. Ignore the failure.</t>
  </si>
  <si>
    <t>FD 8C 69 50</t>
  </si>
  <si>
    <t>02 00 00 80 00</t>
  </si>
  <si>
    <t>5th Apr 2018</t>
  </si>
  <si>
    <t>Credit</t>
  </si>
  <si>
    <t>Sig - 5E 03 00</t>
  </si>
  <si>
    <t>051</t>
  </si>
  <si>
    <t>E0 F8 C8</t>
  </si>
  <si>
    <t>Reversal is not observed.</t>
  </si>
  <si>
    <t>00 00 00 80 00</t>
  </si>
  <si>
    <t>86 59 75 58</t>
  </si>
  <si>
    <t>Terminal Entry capabilities should be 04.(sending as 08)</t>
  </si>
  <si>
    <t>Offline pin (44 03 02)</t>
  </si>
  <si>
    <t>approved</t>
  </si>
  <si>
    <t>approved. Reversal is observed.</t>
  </si>
  <si>
    <t>DF 1B A3 5E</t>
  </si>
  <si>
    <t>Online Pin(42 03 02)</t>
  </si>
  <si>
    <t>Please run this test case 3 times and in last attempt enter the correct pin and complete the transaction with approval.</t>
  </si>
  <si>
    <t>00 00 04 80 00</t>
  </si>
  <si>
    <t>60 2B 9A 54</t>
  </si>
  <si>
    <t xml:space="preserve"> E0 F8 C8</t>
  </si>
  <si>
    <t>Declined</t>
  </si>
  <si>
    <t>  E2E 02</t>
  </si>
  <si>
    <t>Need more details</t>
  </si>
  <si>
    <t>Provide the receipt.</t>
  </si>
  <si>
    <t>  E2E 06</t>
  </si>
  <si>
    <t>pass</t>
  </si>
  <si>
    <t>19 Digit PAN is not supported by FD. Known issue.</t>
  </si>
  <si>
    <t>  E2E 09</t>
  </si>
  <si>
    <t>  E2E 35</t>
  </si>
  <si>
    <t>Please provide the receipt to identify the host log. If possible provide front end message request and response.</t>
  </si>
  <si>
    <t>  E2E 36</t>
  </si>
  <si>
    <t>  E2E 38</t>
  </si>
  <si>
    <t>  E2E 48</t>
  </si>
  <si>
    <t>If card declines the transaction, Customer</t>
  </si>
  <si>
    <t>  E2E 50</t>
  </si>
  <si>
    <t>Fail.</t>
  </si>
  <si>
    <t>Transaction was approved but card declines the transaction. I am working with FD Analsyt on this issue.</t>
  </si>
  <si>
    <t xml:space="preserve">Provide the receipt. Network Label must be printed on the receipt for US Debits. </t>
  </si>
  <si>
    <t>Host log Checks:</t>
  </si>
  <si>
    <r>
      <t>1.</t>
    </r>
    <r>
      <rPr>
        <sz val="7"/>
        <color rgb="FF1F497D"/>
        <rFont val="Times New Roman"/>
        <family val="1"/>
      </rPr>
      <t xml:space="preserve">      </t>
    </r>
    <r>
      <rPr>
        <sz val="10"/>
        <color rgb="FF1F497D"/>
        <rFont val="Calibri"/>
        <family val="2"/>
      </rPr>
      <t>Merchant Category code was null in message request.</t>
    </r>
  </si>
  <si>
    <r>
      <t>2.</t>
    </r>
    <r>
      <rPr>
        <sz val="7"/>
        <color rgb="FF1F497D"/>
        <rFont val="Times New Roman"/>
        <family val="1"/>
      </rPr>
      <t xml:space="preserve">      </t>
    </r>
    <r>
      <rPr>
        <sz val="10"/>
        <color rgb="FF1F497D"/>
        <rFont val="Calibri"/>
        <family val="2"/>
      </rPr>
      <t>Terminal entry capability must be sent as 04 for contact projects.</t>
    </r>
  </si>
  <si>
    <t>Tag 9F39 : POS Entry Mode</t>
  </si>
  <si>
    <t>Tag 9F41 : Transaction Sequence Counter</t>
  </si>
  <si>
    <t>Tag 9F53 : Transaction Category Code</t>
  </si>
  <si>
    <r>
      <t>3.</t>
    </r>
    <r>
      <rPr>
        <sz val="7"/>
        <color rgb="FF1F497D"/>
        <rFont val="Times New Roman"/>
        <family val="1"/>
      </rPr>
      <t xml:space="preserve">      </t>
    </r>
    <r>
      <rPr>
        <sz val="10"/>
        <color rgb="FF1F497D"/>
        <rFont val="Calibri"/>
        <family val="2"/>
      </rPr>
      <t>In EMV GRP -&gt; Please try to include below tags.</t>
    </r>
  </si>
  <si>
    <t>  Test Case 08</t>
  </si>
  <si>
    <t>POS Entry mode for a fall back transaction should be 80</t>
  </si>
  <si>
    <t>  Test Case 28</t>
  </si>
  <si>
    <t>App Version number(Tag:9F 09) for Visa Credit AID is 00 A0. Please update.</t>
  </si>
  <si>
    <t>ADVT 1A.1, ADVT2A.1</t>
  </si>
  <si>
    <t>Do you support Auto Debit Selection?</t>
  </si>
  <si>
    <t>If yes, then, please select US Debit and complete the transaction with above CVM limit.</t>
  </si>
  <si>
    <t>ADVT1A.4</t>
  </si>
  <si>
    <t>More details required</t>
  </si>
  <si>
    <t>Please provide receipt to verify the network label</t>
  </si>
  <si>
    <t>US Debit transaction must be sent as Credit, routing will be taken care by FD up on pin entry.</t>
  </si>
  <si>
    <t>ADVT1A.5</t>
  </si>
  <si>
    <t xml:space="preserve">As pin bypass is not allowed, don’t attempt this test case. </t>
  </si>
  <si>
    <t> M-TIP02.Test.01.Scenario.04</t>
  </si>
  <si>
    <t>Fallback transactions must have the POS Entry Mode as 80</t>
  </si>
  <si>
    <t>  M-TIP02.Test.01.Scenario.05</t>
  </si>
  <si>
    <t>  M-TIP06.Test.13.Scenario.01</t>
  </si>
  <si>
    <t>Terminal declines the transaction instead of partial approval. FD partially approves the transaction which is expected behavior. Terminal should able to handle the tag:8A : 31 30 response.</t>
  </si>
  <si>
    <t>  M-TIP12-USM.Test.01.Scenario.01</t>
  </si>
  <si>
    <t>If Auto Debit Selection is supported, please complete the transaction by selecting US Debit.</t>
  </si>
  <si>
    <t>  M-TIP13-USM.Test.01.Scenario.01</t>
  </si>
  <si>
    <t>Issuer authentication failed. I will work with FD Analyst on this issue.</t>
  </si>
  <si>
    <t>  M-TIP50.Test.01.Scenario.01</t>
  </si>
  <si>
    <t>In correct Additional Amount grp was sent multiple times in message request.</t>
  </si>
  <si>
    <t>  M-TIP51.Test.02.Scenario.02</t>
  </si>
  <si>
    <t>AXP EMV 001</t>
  </si>
  <si>
    <t>  AXP EMV 003</t>
  </si>
  <si>
    <t>  AXP EMV 004</t>
  </si>
  <si>
    <t>  AXP EMV 005</t>
  </si>
  <si>
    <t>  AXP EMV 006</t>
  </si>
  <si>
    <t xml:space="preserve">  AXP EMV 007 </t>
  </si>
  <si>
    <t xml:space="preserve">  AXP EMV 010 </t>
  </si>
  <si>
    <t xml:space="preserve">  AXP EMV 011 </t>
  </si>
  <si>
    <t xml:space="preserve">  AXP EMV 012 </t>
  </si>
  <si>
    <t xml:space="preserve">  AXP EMV 013 </t>
  </si>
  <si>
    <t>  AXP EMV 014</t>
  </si>
  <si>
    <t xml:space="preserve">  AXP EMV 015 </t>
  </si>
  <si>
    <t>  AXP EMV 016</t>
  </si>
  <si>
    <t>  AXP EMV 017.2</t>
  </si>
  <si>
    <t xml:space="preserve">  AXP EMV 018 </t>
  </si>
  <si>
    <t xml:space="preserve">  AXP EMV 020 </t>
  </si>
  <si>
    <t>  AXP EMV 021</t>
  </si>
  <si>
    <t>  AXP EMV 022</t>
  </si>
  <si>
    <t>  AXP EMV 023</t>
  </si>
  <si>
    <t>  AXP EMV 024</t>
  </si>
  <si>
    <t xml:space="preserve">  AXP EMV 026 </t>
  </si>
  <si>
    <t xml:space="preserve">  AXP EMV 027 </t>
  </si>
  <si>
    <t xml:space="preserve">  AXP EMV 028 </t>
  </si>
  <si>
    <t xml:space="preserve">  AXP EMV 029 </t>
  </si>
  <si>
    <t>  AXP EMV 030</t>
  </si>
  <si>
    <t>  AXP EMV 032</t>
  </si>
  <si>
    <t>  AXP EMV 034</t>
  </si>
  <si>
    <t>  AXP EMV 035</t>
  </si>
  <si>
    <t>  AXP EMV 036</t>
  </si>
  <si>
    <t>  AXP EMV 039</t>
  </si>
  <si>
    <t>  AXP MAG 001</t>
  </si>
  <si>
    <t xml:space="preserve">  AXP MAG 002 </t>
  </si>
  <si>
    <t xml:space="preserve">  AXP RCP 001 </t>
  </si>
  <si>
    <t>AXP EMV 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</si>
</sst>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m/d/yyyy;@"/>
    <numFmt numFmtId="165" formatCode="0.0%"/>
  </numFmts>
  <fonts count="2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scheme val="minor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0"/>
      <color rgb="FF1F497D"/>
      <name val="Calibri"/>
      <family val="2"/>
    </font>
    <font>
      <b/>
      <sz val="10"/>
      <color rgb="FF1F497D"/>
      <name val="Calibri"/>
      <family val="2"/>
    </font>
    <font>
      <sz val="7"/>
      <color rgb="FF1F497D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A9D08E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78">
    <xf numFmtId="0" fontId="0" fillId="0" borderId="0" xfId="0"/>
    <xf numFmtId="0" fontId="1" fillId="2" borderId="0" xfId="1"/>
    <xf numFmtId="0" fontId="2" fillId="3" borderId="0" xfId="2"/>
    <xf numFmtId="0" fontId="3" fillId="4" borderId="0" xfId="3"/>
    <xf numFmtId="0" fontId="4" fillId="5" borderId="0" xfId="0" applyFont="1" applyFill="1"/>
    <xf numFmtId="0" fontId="0" fillId="0" borderId="0" xfId="0" applyAlignment="1">
      <alignment wrapText="1"/>
    </xf>
    <xf numFmtId="0" fontId="4" fillId="5" borderId="0" xfId="0" applyFont="1" applyFill="1" applyAlignment="1">
      <alignment wrapText="1"/>
    </xf>
    <xf numFmtId="0" fontId="5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5" fillId="0" borderId="0" xfId="0" applyFont="1" applyFill="1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0" fontId="6" fillId="5" borderId="1" xfId="0" applyFont="1" applyFill="1" applyBorder="1" applyAlignment="1">
      <alignment horizontal="left" vertical="center" wrapText="1"/>
    </xf>
    <xf numFmtId="0" fontId="0" fillId="0" borderId="2" xfId="0" applyBorder="1"/>
    <xf numFmtId="0" fontId="6" fillId="5" borderId="0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0" fillId="5" borderId="2" xfId="0" applyFill="1" applyBorder="1"/>
    <xf numFmtId="164" fontId="0" fillId="0" borderId="0" xfId="0" applyNumberFormat="1"/>
    <xf numFmtId="0" fontId="6" fillId="6" borderId="1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64" fontId="0" fillId="0" borderId="0" xfId="0" applyNumberFormat="1" applyAlignment="1">
      <alignment horizontal="left"/>
    </xf>
    <xf numFmtId="0" fontId="0" fillId="0" borderId="3" xfId="0" applyFont="1" applyBorder="1"/>
    <xf numFmtId="0" fontId="0" fillId="0" borderId="0" xfId="0" applyAlignment="1">
      <alignment horizontal="left"/>
    </xf>
    <xf numFmtId="0" fontId="6" fillId="6" borderId="4" xfId="0" applyFont="1" applyFill="1" applyBorder="1" applyAlignment="1">
      <alignment horizontal="center" vertical="top" wrapText="1"/>
    </xf>
    <xf numFmtId="0" fontId="11" fillId="2" borderId="4" xfId="1" applyFont="1" applyFill="1" applyBorder="1" applyAlignment="1">
      <alignment horizontal="left" vertical="top" wrapText="1"/>
    </xf>
    <xf numFmtId="0" fontId="9" fillId="3" borderId="4" xfId="2" applyFont="1" applyFill="1" applyBorder="1" applyAlignment="1">
      <alignment horizontal="left" vertical="top" wrapText="1"/>
    </xf>
    <xf numFmtId="0" fontId="10" fillId="4" borderId="4" xfId="3" applyFont="1" applyFill="1" applyBorder="1" applyAlignment="1">
      <alignment horizontal="left" vertical="top" wrapText="1"/>
    </xf>
    <xf numFmtId="0" fontId="6" fillId="6" borderId="5" xfId="0" applyFont="1" applyFill="1" applyBorder="1" applyAlignment="1">
      <alignment horizontal="left" vertical="top" wrapText="1"/>
    </xf>
    <xf numFmtId="0" fontId="0" fillId="0" borderId="4" xfId="0" applyFont="1" applyBorder="1"/>
    <xf numFmtId="0" fontId="1" fillId="2" borderId="4" xfId="1" applyFont="1" applyFill="1" applyBorder="1" applyAlignment="1">
      <alignment horizontal="left"/>
    </xf>
    <xf numFmtId="0" fontId="2" fillId="3" borderId="4" xfId="2" applyFont="1" applyFill="1" applyBorder="1" applyAlignment="1">
      <alignment horizontal="left"/>
    </xf>
    <xf numFmtId="0" fontId="3" fillId="4" borderId="4" xfId="3" applyFont="1" applyFill="1" applyBorder="1" applyAlignment="1">
      <alignment horizontal="left"/>
    </xf>
    <xf numFmtId="0" fontId="0" fillId="0" borderId="5" xfId="0" applyFont="1" applyBorder="1" applyAlignment="1">
      <alignment horizontal="left"/>
    </xf>
    <xf numFmtId="0" fontId="1" fillId="2" borderId="3" xfId="1" applyFont="1" applyFill="1" applyBorder="1" applyAlignment="1">
      <alignment horizontal="left"/>
    </xf>
    <xf numFmtId="0" fontId="2" fillId="3" borderId="3" xfId="2" applyFont="1" applyFill="1" applyBorder="1" applyAlignment="1">
      <alignment horizontal="left"/>
    </xf>
    <xf numFmtId="0" fontId="3" fillId="4" borderId="3" xfId="3" applyFont="1" applyFill="1" applyBorder="1" applyAlignment="1">
      <alignment horizontal="left"/>
    </xf>
    <xf numFmtId="0" fontId="0" fillId="0" borderId="2" xfId="0" applyFont="1" applyBorder="1" applyAlignment="1">
      <alignment horizontal="left"/>
    </xf>
    <xf numFmtId="0" fontId="7" fillId="0" borderId="0" xfId="0" applyFont="1"/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0" fillId="0" borderId="2" xfId="0" applyFill="1" applyBorder="1" applyProtection="1">
      <protection locked="0"/>
    </xf>
    <xf numFmtId="0" fontId="0" fillId="0" borderId="2" xfId="0" applyBorder="1" applyProtection="1">
      <protection locked="0"/>
    </xf>
    <xf numFmtId="164" fontId="0" fillId="0" borderId="2" xfId="0" applyNumberFormat="1" applyBorder="1" applyProtection="1">
      <protection locked="0"/>
    </xf>
    <xf numFmtId="14" fontId="0" fillId="0" borderId="2" xfId="0" applyNumberFormat="1" applyFill="1" applyBorder="1" applyProtection="1">
      <protection locked="0"/>
    </xf>
    <xf numFmtId="164" fontId="0" fillId="9" borderId="2" xfId="0" applyNumberFormat="1" applyFill="1" applyBorder="1"/>
    <xf numFmtId="0" fontId="13" fillId="0" borderId="0" xfId="0" applyFont="1" applyAlignment="1">
      <alignment wrapText="1"/>
    </xf>
    <xf numFmtId="0" fontId="0" fillId="0" borderId="0" xfId="0" applyAlignment="1">
      <alignment vertical="top"/>
    </xf>
    <xf numFmtId="0" fontId="0" fillId="9" borderId="0" xfId="0" applyFill="1" applyAlignment="1">
      <alignment wrapText="1"/>
    </xf>
    <xf numFmtId="0" fontId="14" fillId="9" borderId="0" xfId="0" applyFont="1" applyFill="1" applyAlignment="1">
      <alignment wrapText="1"/>
    </xf>
    <xf numFmtId="0" fontId="4" fillId="10" borderId="2" xfId="0" applyFont="1" applyFill="1" applyBorder="1" applyAlignment="1">
      <alignment horizontal="center"/>
    </xf>
    <xf numFmtId="0" fontId="1" fillId="2" borderId="0" xfId="1" applyProtection="1">
      <protection locked="0"/>
    </xf>
    <xf numFmtId="165" fontId="1" fillId="2" borderId="0" xfId="1" applyNumberFormat="1" applyProtection="1">
      <protection locked="0"/>
    </xf>
    <xf numFmtId="0" fontId="5" fillId="7" borderId="0" xfId="2" applyFont="1" applyFill="1" applyProtection="1">
      <protection locked="0"/>
    </xf>
    <xf numFmtId="165" fontId="5" fillId="7" borderId="0" xfId="2" applyNumberFormat="1" applyFont="1" applyFill="1" applyProtection="1">
      <protection locked="0"/>
    </xf>
    <xf numFmtId="0" fontId="12" fillId="8" borderId="0" xfId="1" applyFont="1" applyFill="1" applyAlignment="1" applyProtection="1">
      <alignment wrapText="1"/>
      <protection locked="0"/>
    </xf>
    <xf numFmtId="1" fontId="12" fillId="8" borderId="0" xfId="1" applyNumberFormat="1" applyFont="1" applyFill="1" applyAlignment="1" applyProtection="1">
      <alignment horizontal="left"/>
      <protection locked="0"/>
    </xf>
    <xf numFmtId="1" fontId="5" fillId="7" borderId="0" xfId="2" applyNumberFormat="1" applyFont="1" applyFill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15" fillId="5" borderId="0" xfId="0" applyFont="1" applyFill="1"/>
    <xf numFmtId="8" fontId="0" fillId="0" borderId="0" xfId="0" applyNumberFormat="1"/>
    <xf numFmtId="49" fontId="0" fillId="0" borderId="0" xfId="0" applyNumberFormat="1"/>
    <xf numFmtId="0" fontId="16" fillId="0" borderId="6" xfId="0" applyFont="1" applyBorder="1" applyAlignment="1">
      <alignment vertical="center" wrapText="1"/>
    </xf>
    <xf numFmtId="0" fontId="17" fillId="0" borderId="7" xfId="0" applyFont="1" applyBorder="1" applyAlignment="1">
      <alignment vertical="center"/>
    </xf>
    <xf numFmtId="0" fontId="17" fillId="0" borderId="7" xfId="0" applyFont="1" applyBorder="1" applyAlignment="1">
      <alignment vertical="center" wrapText="1"/>
    </xf>
    <xf numFmtId="0" fontId="17" fillId="0" borderId="8" xfId="0" applyFont="1" applyBorder="1" applyAlignment="1">
      <alignment vertical="center" wrapText="1"/>
    </xf>
    <xf numFmtId="0" fontId="19" fillId="0" borderId="0" xfId="0" applyFont="1" applyAlignment="1">
      <alignment vertical="center"/>
    </xf>
    <xf numFmtId="0" fontId="18" fillId="0" borderId="0" xfId="0" applyFont="1" applyAlignment="1">
      <alignment horizontal="left" vertical="center" indent="5"/>
    </xf>
    <xf numFmtId="0" fontId="17" fillId="0" borderId="6" xfId="0" applyFont="1" applyBorder="1" applyAlignment="1">
      <alignment vertical="center" wrapText="1"/>
    </xf>
    <xf numFmtId="0" fontId="16" fillId="11" borderId="6" xfId="0" applyFont="1" applyFill="1" applyBorder="1" applyAlignment="1">
      <alignment vertical="center" wrapText="1"/>
    </xf>
    <xf numFmtId="0" fontId="17" fillId="11" borderId="7" xfId="0" applyFont="1" applyFill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16" fillId="0" borderId="9" xfId="0" applyFont="1" applyBorder="1" applyAlignment="1">
      <alignment vertical="center" wrapText="1"/>
    </xf>
    <xf numFmtId="0" fontId="16" fillId="0" borderId="6" xfId="0" applyFont="1" applyBorder="1" applyAlignment="1">
      <alignment vertical="center" wrapText="1"/>
    </xf>
    <xf numFmtId="0" fontId="17" fillId="0" borderId="9" xfId="0" applyFont="1" applyBorder="1" applyAlignment="1">
      <alignment vertical="center" wrapText="1"/>
    </xf>
    <xf numFmtId="0" fontId="17" fillId="0" borderId="6" xfId="0" applyFont="1" applyBorder="1" applyAlignment="1">
      <alignment vertical="center" wrapText="1"/>
    </xf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13"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C00000"/>
        </patternFill>
      </fill>
    </dxf>
    <dxf>
      <font>
        <b val="0"/>
        <i val="0"/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b val="0"/>
        <i val="0"/>
        <color theme="9" tint="-0.499984740745262"/>
      </font>
      <fill>
        <patternFill>
          <bgColor theme="9" tint="0.59996337778862885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b val="0"/>
        <i val="0"/>
        <color rgb="FFC00000"/>
      </font>
      <fill>
        <patternFill>
          <bgColor rgb="FFFFCCCC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colors>
    <mruColors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Gantt!$C$2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Gantt!$C$3:$C$14</c:f>
              <c:numCache>
                <c:formatCode>m/d/yyyy;@</c:formatCode>
                <c:ptCount val="12"/>
                <c:pt idx="0">
                  <c:v>43174</c:v>
                </c:pt>
                <c:pt idx="1">
                  <c:v>43188</c:v>
                </c:pt>
                <c:pt idx="2">
                  <c:v>43195</c:v>
                </c:pt>
                <c:pt idx="3">
                  <c:v>43259</c:v>
                </c:pt>
                <c:pt idx="4">
                  <c:v>43271</c:v>
                </c:pt>
                <c:pt idx="5">
                  <c:v>43291</c:v>
                </c:pt>
                <c:pt idx="6">
                  <c:v>43174</c:v>
                </c:pt>
                <c:pt idx="7">
                  <c:v>43134</c:v>
                </c:pt>
                <c:pt idx="8">
                  <c:v>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8-4C25-9071-D620DF827C88}"/>
            </c:ext>
          </c:extLst>
        </c:ser>
        <c:ser>
          <c:idx val="1"/>
          <c:order val="1"/>
          <c:tx>
            <c:strRef>
              <c:f>Gantt!$D$2</c:f>
              <c:strCache>
                <c:ptCount val="1"/>
                <c:pt idx="0">
                  <c:v>Duration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E78-4C25-9071-D620DF827C8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E78-4C25-9071-D620DF827C8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E78-4C25-9071-D620DF827C8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E78-4C25-9071-D620DF827C8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4E78-4C25-9071-D620DF827C8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E78-4C25-9071-D620DF827C88}"/>
              </c:ext>
            </c:extLst>
          </c:dPt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Gantt!$D$3:$D$14</c:f>
              <c:numCache>
                <c:formatCode>General</c:formatCode>
                <c:ptCount val="12"/>
                <c:pt idx="0">
                  <c:v>14</c:v>
                </c:pt>
                <c:pt idx="1">
                  <c:v>7</c:v>
                </c:pt>
                <c:pt idx="2">
                  <c:v>64</c:v>
                </c:pt>
                <c:pt idx="3">
                  <c:v>12</c:v>
                </c:pt>
                <c:pt idx="4">
                  <c:v>20</c:v>
                </c:pt>
                <c:pt idx="5">
                  <c:v>7</c:v>
                </c:pt>
                <c:pt idx="6">
                  <c:v>-40</c:v>
                </c:pt>
                <c:pt idx="7">
                  <c:v>4</c:v>
                </c:pt>
                <c:pt idx="8">
                  <c:v>-43138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E78-4C25-9071-D620DF827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5842072"/>
        <c:axId val="225842464"/>
      </c:barChart>
      <c:catAx>
        <c:axId val="2258420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42464"/>
        <c:crosses val="autoZero"/>
        <c:auto val="1"/>
        <c:lblAlgn val="ctr"/>
        <c:lblOffset val="100"/>
        <c:noMultiLvlLbl val="0"/>
      </c:catAx>
      <c:valAx>
        <c:axId val="225842464"/>
        <c:scaling>
          <c:orientation val="minMax"/>
          <c:min val="4310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4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Gantt!$C$2</c:f>
              <c:strCache>
                <c:ptCount val="1"/>
                <c:pt idx="0">
                  <c:v>Start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Gantt!$C$3:$C$14</c:f>
              <c:numCache>
                <c:formatCode>m/d/yyyy;@</c:formatCode>
                <c:ptCount val="12"/>
                <c:pt idx="0">
                  <c:v>43174</c:v>
                </c:pt>
                <c:pt idx="1">
                  <c:v>43188</c:v>
                </c:pt>
                <c:pt idx="2">
                  <c:v>43195</c:v>
                </c:pt>
                <c:pt idx="3">
                  <c:v>43259</c:v>
                </c:pt>
                <c:pt idx="4">
                  <c:v>43271</c:v>
                </c:pt>
                <c:pt idx="5">
                  <c:v>43291</c:v>
                </c:pt>
                <c:pt idx="6">
                  <c:v>43174</c:v>
                </c:pt>
                <c:pt idx="7">
                  <c:v>43134</c:v>
                </c:pt>
                <c:pt idx="8">
                  <c:v>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2-4648-8B69-344C453ABF97}"/>
            </c:ext>
          </c:extLst>
        </c:ser>
        <c:ser>
          <c:idx val="1"/>
          <c:order val="1"/>
          <c:tx>
            <c:strRef>
              <c:f>Gantt!$D$2</c:f>
              <c:strCache>
                <c:ptCount val="1"/>
                <c:pt idx="0">
                  <c:v>Duration 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722-4648-8B69-344C453ABF97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722-4648-8B69-344C453ABF97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22-4648-8B69-344C453ABF97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722-4648-8B69-344C453ABF97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722-4648-8B69-344C453ABF97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722-4648-8B69-344C453ABF97}"/>
              </c:ext>
            </c:extLst>
          </c:dPt>
          <c:cat>
            <c:strRef>
              <c:f>Gantt!$B$3:$B$14</c:f>
              <c:strCache>
                <c:ptCount val="12"/>
                <c:pt idx="0">
                  <c:v>P1 - EMV Onboarding</c:v>
                </c:pt>
                <c:pt idx="1">
                  <c:v>P2 - EMV Setup</c:v>
                </c:pt>
                <c:pt idx="2">
                  <c:v>P3 - Test Execution</c:v>
                </c:pt>
                <c:pt idx="3">
                  <c:v>P4 - Pre-Validation</c:v>
                </c:pt>
                <c:pt idx="4">
                  <c:v>P5 - Validation</c:v>
                </c:pt>
                <c:pt idx="5">
                  <c:v>P6 - Approval</c:v>
                </c:pt>
                <c:pt idx="6">
                  <c:v>A1 - EMV Onboarding</c:v>
                </c:pt>
                <c:pt idx="7">
                  <c:v>A2 - EMV Setup</c:v>
                </c:pt>
                <c:pt idx="8">
                  <c:v>A3 - Test Execution</c:v>
                </c:pt>
                <c:pt idx="9">
                  <c:v>A4 - Pre-Validation</c:v>
                </c:pt>
                <c:pt idx="10">
                  <c:v>A5 - Validation</c:v>
                </c:pt>
                <c:pt idx="11">
                  <c:v>A6 - Approval</c:v>
                </c:pt>
              </c:strCache>
            </c:strRef>
          </c:cat>
          <c:val>
            <c:numRef>
              <c:f>Gantt!$D$3:$D$14</c:f>
              <c:numCache>
                <c:formatCode>General</c:formatCode>
                <c:ptCount val="12"/>
                <c:pt idx="0">
                  <c:v>14</c:v>
                </c:pt>
                <c:pt idx="1">
                  <c:v>7</c:v>
                </c:pt>
                <c:pt idx="2">
                  <c:v>64</c:v>
                </c:pt>
                <c:pt idx="3">
                  <c:v>12</c:v>
                </c:pt>
                <c:pt idx="4">
                  <c:v>20</c:v>
                </c:pt>
                <c:pt idx="5">
                  <c:v>7</c:v>
                </c:pt>
                <c:pt idx="6">
                  <c:v>-40</c:v>
                </c:pt>
                <c:pt idx="7">
                  <c:v>4</c:v>
                </c:pt>
                <c:pt idx="8">
                  <c:v>-43138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22-4648-8B69-344C453A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5843248"/>
        <c:axId val="225843640"/>
      </c:barChart>
      <c:catAx>
        <c:axId val="225843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43640"/>
        <c:crosses val="autoZero"/>
        <c:auto val="1"/>
        <c:lblAlgn val="ctr"/>
        <c:lblOffset val="100"/>
        <c:noMultiLvlLbl val="0"/>
      </c:catAx>
      <c:valAx>
        <c:axId val="225843640"/>
        <c:scaling>
          <c:orientation val="minMax"/>
          <c:min val="4310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4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rgbClr val="92D050"/>
                </a:solidFill>
              </a:rPr>
              <a:t>Passed Test Cases</a:t>
            </a:r>
          </a:p>
        </c:rich>
      </c:tx>
      <c:layout>
        <c:manualLayout>
          <c:xMode val="edge"/>
          <c:yMode val="edge"/>
          <c:x val="0.2253012048192771"/>
          <c:y val="6.81198910081743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505749460400545"/>
          <c:y val="0.1775946275946276"/>
          <c:w val="0.62421203438395412"/>
          <c:h val="0.79798534798534793"/>
        </c:manualLayout>
      </c:layout>
      <c:doughnutChart>
        <c:varyColors val="1"/>
        <c:ser>
          <c:idx val="0"/>
          <c:order val="0"/>
          <c:tx>
            <c:v>Timeline</c:v>
          </c:tx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EB-4E08-970D-C1B0D4463AB6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EB-4E08-970D-C1B0D4463AB6}"/>
              </c:ext>
            </c:extLst>
          </c:dPt>
          <c:cat>
            <c:strRef>
              <c:f>'Test Summary'!$A$16:$A$17</c:f>
              <c:strCache>
                <c:ptCount val="2"/>
                <c:pt idx="0">
                  <c:v>Pass</c:v>
                </c:pt>
                <c:pt idx="1">
                  <c:v>Fail&amp;Pending</c:v>
                </c:pt>
              </c:strCache>
            </c:strRef>
          </c:cat>
          <c:val>
            <c:numRef>
              <c:f>'Test Summary'!$B$19:$B$20</c:f>
              <c:numCache>
                <c:formatCode>0</c:formatCode>
                <c:ptCount val="2"/>
                <c:pt idx="0">
                  <c:v>206</c:v>
                </c:pt>
                <c:pt idx="1">
                  <c:v>-131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EB-4E08-970D-C1B0D4463AB6}"/>
            </c:ext>
          </c:extLst>
        </c:ser>
        <c:ser>
          <c:idx val="1"/>
          <c:order val="1"/>
          <c:tx>
            <c:v>Test Results</c:v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63EB-4E08-970D-C1B0D4463AB6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63EB-4E08-970D-C1B0D4463AB6}"/>
              </c:ext>
            </c:extLst>
          </c:dPt>
          <c:cat>
            <c:strRef>
              <c:f>'Test Summary'!$A$16:$A$17</c:f>
              <c:strCache>
                <c:ptCount val="2"/>
                <c:pt idx="0">
                  <c:v>Pass</c:v>
                </c:pt>
                <c:pt idx="1">
                  <c:v>Fail&amp;Pending</c:v>
                </c:pt>
              </c:strCache>
            </c:strRef>
          </c:cat>
          <c:val>
            <c:numRef>
              <c:f>'Test Summary'!$B$16:$B$17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3EB-4E08-970D-C1B0D4463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Test</a:t>
            </a:r>
            <a:r>
              <a:rPr lang="en-US" baseline="0"/>
              <a:t> Cases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'Test Summary'!$B$1</c:f>
              <c:strCache>
                <c:ptCount val="1"/>
                <c:pt idx="0">
                  <c:v>Pass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5"/>
                <c:pt idx="0">
                  <c:v>American Express Contact </c:v>
                </c:pt>
                <c:pt idx="1">
                  <c:v>Discover Contact </c:v>
                </c:pt>
                <c:pt idx="2">
                  <c:v>MasterCard</c:v>
                </c:pt>
                <c:pt idx="3">
                  <c:v>Visa Contact</c:v>
                </c:pt>
                <c:pt idx="4">
                  <c:v>Visa US Debit</c:v>
                </c:pt>
              </c:strCache>
            </c:strRef>
          </c:cat>
          <c:val>
            <c:numRef>
              <c:f>'Test Summary'!$B$2:$B$13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36-4B28-9428-0B187D2AFC45}"/>
            </c:ext>
          </c:extLst>
        </c:ser>
        <c:ser>
          <c:idx val="1"/>
          <c:order val="1"/>
          <c:tx>
            <c:strRef>
              <c:f>'Test Summary'!$C$1</c:f>
              <c:strCache>
                <c:ptCount val="1"/>
                <c:pt idx="0">
                  <c:v>Fail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5"/>
                <c:pt idx="0">
                  <c:v>American Express Contact </c:v>
                </c:pt>
                <c:pt idx="1">
                  <c:v>Discover Contact </c:v>
                </c:pt>
                <c:pt idx="2">
                  <c:v>MasterCard</c:v>
                </c:pt>
                <c:pt idx="3">
                  <c:v>Visa Contact</c:v>
                </c:pt>
                <c:pt idx="4">
                  <c:v>Visa US Debit</c:v>
                </c:pt>
              </c:strCache>
            </c:strRef>
          </c:cat>
          <c:val>
            <c:numRef>
              <c:f>'Test Summary'!$C$2:$C$13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36-4B28-9428-0B187D2AFC45}"/>
            </c:ext>
          </c:extLst>
        </c:ser>
        <c:ser>
          <c:idx val="2"/>
          <c:order val="2"/>
          <c:tx>
            <c:strRef>
              <c:f>'Test Summary'!$D$1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'Test Summary'!$A$2:$A$13</c:f>
              <c:strCache>
                <c:ptCount val="5"/>
                <c:pt idx="0">
                  <c:v>American Express Contact </c:v>
                </c:pt>
                <c:pt idx="1">
                  <c:v>Discover Contact </c:v>
                </c:pt>
                <c:pt idx="2">
                  <c:v>MasterCard</c:v>
                </c:pt>
                <c:pt idx="3">
                  <c:v>Visa Contact</c:v>
                </c:pt>
                <c:pt idx="4">
                  <c:v>Visa US Debit</c:v>
                </c:pt>
              </c:strCache>
            </c:strRef>
          </c:cat>
          <c:val>
            <c:numRef>
              <c:f>'Test Summary'!$D$2:$D$13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36-4B28-9428-0B187D2AF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844424"/>
        <c:axId val="225846384"/>
      </c:barChart>
      <c:catAx>
        <c:axId val="2258444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46384"/>
        <c:crosses val="autoZero"/>
        <c:auto val="1"/>
        <c:lblAlgn val="ctr"/>
        <c:lblOffset val="100"/>
        <c:noMultiLvlLbl val="0"/>
      </c:catAx>
      <c:valAx>
        <c:axId val="22584638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844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</xdr:colOff>
      <xdr:row>0</xdr:row>
      <xdr:rowOff>60960</xdr:rowOff>
    </xdr:from>
    <xdr:to>
      <xdr:col>2</xdr:col>
      <xdr:colOff>388620</xdr:colOff>
      <xdr:row>0</xdr:row>
      <xdr:rowOff>613944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4920" y="60960"/>
          <a:ext cx="2164080" cy="552984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11</xdr:row>
      <xdr:rowOff>0</xdr:rowOff>
    </xdr:from>
    <xdr:to>
      <xdr:col>9</xdr:col>
      <xdr:colOff>601980</xdr:colOff>
      <xdr:row>26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8</xdr:col>
      <xdr:colOff>281940</xdr:colOff>
      <xdr:row>8</xdr:row>
      <xdr:rowOff>38100</xdr:rowOff>
    </xdr:from>
    <xdr:to>
      <xdr:col>8</xdr:col>
      <xdr:colOff>548640</xdr:colOff>
      <xdr:row>8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812780" y="1996440"/>
          <a:ext cx="266700" cy="11430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281940</xdr:colOff>
      <xdr:row>9</xdr:row>
      <xdr:rowOff>45720</xdr:rowOff>
    </xdr:from>
    <xdr:to>
      <xdr:col>8</xdr:col>
      <xdr:colOff>548640</xdr:colOff>
      <xdr:row>9</xdr:row>
      <xdr:rowOff>160020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812780" y="2186940"/>
          <a:ext cx="266700" cy="11430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</xdr:colOff>
      <xdr:row>0</xdr:row>
      <xdr:rowOff>160020</xdr:rowOff>
    </xdr:from>
    <xdr:to>
      <xdr:col>16</xdr:col>
      <xdr:colOff>419100</xdr:colOff>
      <xdr:row>15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14</xdr:row>
      <xdr:rowOff>0</xdr:rowOff>
    </xdr:from>
    <xdr:to>
      <xdr:col>10</xdr:col>
      <xdr:colOff>647700</xdr:colOff>
      <xdr:row>29</xdr:row>
      <xdr:rowOff>53340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5</xdr:col>
      <xdr:colOff>1653540</xdr:colOff>
      <xdr:row>29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0.36103</cdr:x>
      <cdr:y>0.41026</cdr:y>
    </cdr:from>
    <cdr:to>
      <cdr:x>0.67335</cdr:x>
      <cdr:y>0.75092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0120" y="853440"/>
          <a:ext cx="830580" cy="7086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600" b="1">
              <a:solidFill>
                <a:schemeClr val="accent5">
                  <a:lumMod val="60000"/>
                  <a:lumOff val="40000"/>
                </a:schemeClr>
              </a:solidFill>
            </a:rPr>
            <a:t>Active Business</a:t>
          </a:r>
          <a:r>
            <a:rPr lang="en-US" sz="1600" b="1" baseline="0">
              <a:solidFill>
                <a:schemeClr val="accent5">
                  <a:lumMod val="60000"/>
                  <a:lumOff val="40000"/>
                </a:schemeClr>
              </a:solidFill>
            </a:rPr>
            <a:t> Days</a:t>
          </a:r>
          <a:endParaRPr lang="en-US" sz="1600" b="1">
            <a:solidFill>
              <a:schemeClr val="accent5">
                <a:lumMod val="60000"/>
                <a:lumOff val="4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</xdr:colOff>
      <xdr:row>24</xdr:row>
      <xdr:rowOff>99060</xdr:rowOff>
    </xdr:from>
    <xdr:to>
      <xdr:col>1</xdr:col>
      <xdr:colOff>1989330</xdr:colOff>
      <xdr:row>24</xdr:row>
      <xdr:rowOff>1752743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7265"/>
        <a:stretch/>
      </xdr:blipFill>
      <xdr:spPr>
        <a:xfrm>
          <a:off x="670560" y="6545580"/>
          <a:ext cx="1928370" cy="1653683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76200</xdr:colOff>
      <xdr:row>22</xdr:row>
      <xdr:rowOff>76200</xdr:rowOff>
    </xdr:from>
    <xdr:to>
      <xdr:col>1</xdr:col>
      <xdr:colOff>2728190</xdr:colOff>
      <xdr:row>22</xdr:row>
      <xdr:rowOff>1150620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2382" b="17444"/>
        <a:stretch/>
      </xdr:blipFill>
      <xdr:spPr>
        <a:xfrm>
          <a:off x="685800" y="4876800"/>
          <a:ext cx="2651990" cy="1074420"/>
        </a:xfrm>
        <a:prstGeom prst="rect">
          <a:avLst/>
        </a:prstGeom>
        <a:ln w="38100" cap="sq">
          <a:solidFill>
            <a:schemeClr val="accent1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Table210" displayName="Table210" ref="A1:O37" totalsRowShown="0" headerRowDxfId="102">
  <autoFilter ref="A1:O37" xr:uid="{00000000-0009-0000-0100-000009000000}"/>
  <tableColumns count="15">
    <tableColumn id="1" xr3:uid="{00000000-0010-0000-0000-000001000000}" name="Test Case"/>
    <tableColumn id="2" xr3:uid="{00000000-0010-0000-0000-000002000000}" name="Result"/>
    <tableColumn id="4" xr3:uid="{00000000-0010-0000-0000-000004000000}" name="UL Review" dataDxfId="101"/>
    <tableColumn id="3" xr3:uid="{00000000-0010-0000-0000-000003000000}" name="Assigned to"/>
    <tableColumn id="5" xr3:uid="{00000000-0010-0000-0000-000005000000}" name="TVR"/>
    <tableColumn id="6" xr3:uid="{00000000-0010-0000-0000-000006000000}" name="Unpredictable number"/>
    <tableColumn id="7" xr3:uid="{00000000-0010-0000-0000-000007000000}" name="amount"/>
    <tableColumn id="8" xr3:uid="{00000000-0010-0000-0000-000008000000}" name="Credit/Debit"/>
    <tableColumn id="9" xr3:uid="{00000000-0010-0000-0000-000009000000}" name="approved/Decline"/>
    <tableColumn id="10" xr3:uid="{00000000-0010-0000-0000-00000A000000}" name="CVM perfomred"/>
    <tableColumn id="11" xr3:uid="{00000000-0010-0000-0000-00000B000000}" name="TX ID"/>
    <tableColumn id="12" xr3:uid="{00000000-0010-0000-0000-00000C000000}" name="POS entry Mode"/>
    <tableColumn id="13" xr3:uid="{00000000-0010-0000-0000-00000D000000}" name="9F 33"/>
    <tableColumn id="14" xr3:uid="{00000000-0010-0000-0000-00000E000000}" name="Executed on"/>
    <tableColumn id="15" xr3:uid="{00000000-0010-0000-0000-00000F000000}" name="Stan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21011" displayName="Table21011" ref="A5:O25" totalsRowShown="0" headerRowDxfId="82">
  <autoFilter ref="A5:O25" xr:uid="{00000000-0009-0000-0100-00000A000000}"/>
  <tableColumns count="15">
    <tableColumn id="1" xr3:uid="{00000000-0010-0000-0100-000001000000}" name="Test Case"/>
    <tableColumn id="2" xr3:uid="{00000000-0010-0000-0100-000002000000}" name="Result"/>
    <tableColumn id="4" xr3:uid="{00000000-0010-0000-0100-000004000000}" name="UL Review" dataDxfId="81"/>
    <tableColumn id="3" xr3:uid="{00000000-0010-0000-0100-000003000000}" name="Assigned to"/>
    <tableColumn id="5" xr3:uid="{00000000-0010-0000-0100-000005000000}" name="TVR"/>
    <tableColumn id="6" xr3:uid="{00000000-0010-0000-0100-000006000000}" name="Unpredictable number"/>
    <tableColumn id="7" xr3:uid="{00000000-0010-0000-0100-000007000000}" name="amount"/>
    <tableColumn id="8" xr3:uid="{00000000-0010-0000-0100-000008000000}" name="Credit/Debit"/>
    <tableColumn id="9" xr3:uid="{00000000-0010-0000-0100-000009000000}" name="approved/Decline"/>
    <tableColumn id="10" xr3:uid="{00000000-0010-0000-0100-00000A000000}" name="CVM perfomred"/>
    <tableColumn id="11" xr3:uid="{00000000-0010-0000-0100-00000B000000}" name="TX ID"/>
    <tableColumn id="12" xr3:uid="{00000000-0010-0000-0100-00000C000000}" name="POS entry Mode"/>
    <tableColumn id="13" xr3:uid="{00000000-0010-0000-0100-00000D000000}" name="9F 33"/>
    <tableColumn id="14" xr3:uid="{00000000-0010-0000-0100-00000E000000}" name="Executed on"/>
    <tableColumn id="15" xr3:uid="{00000000-0010-0000-0100-00000F000000}" name="Sta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2000000}" name="Table2101118" displayName="Table2101118" ref="A5:O25" totalsRowShown="0" headerRowDxfId="62">
  <autoFilter ref="A5:O25" xr:uid="{00000000-0009-0000-0100-000011000000}"/>
  <tableColumns count="15">
    <tableColumn id="1" xr3:uid="{00000000-0010-0000-0200-000001000000}" name="Test Case"/>
    <tableColumn id="2" xr3:uid="{00000000-0010-0000-0200-000002000000}" name="Result"/>
    <tableColumn id="4" xr3:uid="{00000000-0010-0000-0200-000004000000}" name="UL Review" dataDxfId="61"/>
    <tableColumn id="3" xr3:uid="{00000000-0010-0000-0200-000003000000}" name="Assigned to"/>
    <tableColumn id="5" xr3:uid="{00000000-0010-0000-0200-000005000000}" name="TVR"/>
    <tableColumn id="6" xr3:uid="{00000000-0010-0000-0200-000006000000}" name="Unpredictable number"/>
    <tableColumn id="7" xr3:uid="{00000000-0010-0000-0200-000007000000}" name="amount"/>
    <tableColumn id="8" xr3:uid="{00000000-0010-0000-0200-000008000000}" name="Credit/Debit"/>
    <tableColumn id="9" xr3:uid="{00000000-0010-0000-0200-000009000000}" name="approved/Decline"/>
    <tableColumn id="10" xr3:uid="{00000000-0010-0000-0200-00000A000000}" name="CVM perfomred"/>
    <tableColumn id="11" xr3:uid="{00000000-0010-0000-0200-00000B000000}" name="TX ID"/>
    <tableColumn id="12" xr3:uid="{00000000-0010-0000-0200-00000C000000}" name="POS entry Mode"/>
    <tableColumn id="13" xr3:uid="{00000000-0010-0000-0200-00000D000000}" name="9F 33"/>
    <tableColumn id="14" xr3:uid="{00000000-0010-0000-0200-00000E000000}" name="Executed on"/>
    <tableColumn id="15" xr3:uid="{00000000-0010-0000-0200-00000F000000}" name="Stan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e32" displayName="Table32" ref="A5:O46" totalsRowShown="0" headerRowDxfId="54">
  <autoFilter ref="A5:O46" xr:uid="{00000000-0009-0000-0100-000001000000}"/>
  <tableColumns count="15">
    <tableColumn id="1" xr3:uid="{00000000-0010-0000-0300-000001000000}" name="Test Case"/>
    <tableColumn id="2" xr3:uid="{00000000-0010-0000-0300-000002000000}" name="Result"/>
    <tableColumn id="5" xr3:uid="{00000000-0010-0000-0300-000005000000}" name="UL Review" dataDxfId="53"/>
    <tableColumn id="3" xr3:uid="{00000000-0010-0000-0300-000003000000}" name="Assigned to"/>
    <tableColumn id="4" xr3:uid="{00000000-0010-0000-0300-000004000000}" name="TVR"/>
    <tableColumn id="6" xr3:uid="{00000000-0010-0000-0300-000006000000}" name="Unpredictable number"/>
    <tableColumn id="7" xr3:uid="{00000000-0010-0000-0300-000007000000}" name="amount"/>
    <tableColumn id="8" xr3:uid="{00000000-0010-0000-0300-000008000000}" name="Credit/Debit"/>
    <tableColumn id="9" xr3:uid="{00000000-0010-0000-0300-000009000000}" name="approved/Decline"/>
    <tableColumn id="10" xr3:uid="{00000000-0010-0000-0300-00000A000000}" name="CVM perfomred"/>
    <tableColumn id="11" xr3:uid="{00000000-0010-0000-0300-00000B000000}" name="TX ID"/>
    <tableColumn id="12" xr3:uid="{00000000-0010-0000-0300-00000C000000}" name="POS entry Mode"/>
    <tableColumn id="13" xr3:uid="{00000000-0010-0000-0300-00000D000000}" name="9F 33"/>
    <tableColumn id="14" xr3:uid="{00000000-0010-0000-0300-00000E000000}" name="Executed on"/>
    <tableColumn id="15" xr3:uid="{00000000-0010-0000-0300-00000F000000}" name="Sta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4000000}" name="Table3219" displayName="Table3219" ref="A5:O21" totalsRowShown="0" headerRowDxfId="46">
  <autoFilter ref="A5:O21" xr:uid="{00000000-0009-0000-0100-000012000000}"/>
  <tableColumns count="15">
    <tableColumn id="1" xr3:uid="{00000000-0010-0000-0400-000001000000}" name="Test Case"/>
    <tableColumn id="2" xr3:uid="{00000000-0010-0000-0400-000002000000}" name="Result"/>
    <tableColumn id="5" xr3:uid="{00000000-0010-0000-0400-000005000000}" name="UL Review" dataDxfId="45"/>
    <tableColumn id="3" xr3:uid="{00000000-0010-0000-0400-000003000000}" name="Assigned to"/>
    <tableColumn id="4" xr3:uid="{00000000-0010-0000-0400-000004000000}" name="TVR"/>
    <tableColumn id="6" xr3:uid="{00000000-0010-0000-0400-000006000000}" name="Unpredictable number"/>
    <tableColumn id="7" xr3:uid="{00000000-0010-0000-0400-000007000000}" name="amount"/>
    <tableColumn id="8" xr3:uid="{00000000-0010-0000-0400-000008000000}" name="Credit/Debit"/>
    <tableColumn id="9" xr3:uid="{00000000-0010-0000-0400-000009000000}" name="approved/Decline"/>
    <tableColumn id="10" xr3:uid="{00000000-0010-0000-0400-00000A000000}" name="CVM perfomred"/>
    <tableColumn id="11" xr3:uid="{00000000-0010-0000-0400-00000B000000}" name="TX ID"/>
    <tableColumn id="12" xr3:uid="{00000000-0010-0000-0400-00000C000000}" name="POS entry Mode"/>
    <tableColumn id="13" xr3:uid="{00000000-0010-0000-0400-00000D000000}" name="9F 33"/>
    <tableColumn id="14" xr3:uid="{00000000-0010-0000-0400-00000E000000}" name="Executed on"/>
    <tableColumn id="15" xr3:uid="{00000000-0010-0000-0400-00000F000000}" name="Stan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76" displayName="Table76" ref="A5:O12" totalsRowShown="0" headerRowDxfId="44">
  <autoFilter ref="A5:O12" xr:uid="{00000000-0009-0000-0100-000005000000}"/>
  <tableColumns count="15">
    <tableColumn id="1" xr3:uid="{00000000-0010-0000-0500-000001000000}" name="Test Case"/>
    <tableColumn id="2" xr3:uid="{00000000-0010-0000-0500-000002000000}" name="Result"/>
    <tableColumn id="4" xr3:uid="{00000000-0010-0000-0500-000004000000}" name="UL Review"/>
    <tableColumn id="3" xr3:uid="{00000000-0010-0000-0500-000003000000}" name="Assigned to"/>
    <tableColumn id="5" xr3:uid="{00000000-0010-0000-0500-000005000000}" name="TVR"/>
    <tableColumn id="6" xr3:uid="{00000000-0010-0000-0500-000006000000}" name="Unpredictable number"/>
    <tableColumn id="7" xr3:uid="{00000000-0010-0000-0500-000007000000}" name="amount"/>
    <tableColumn id="8" xr3:uid="{00000000-0010-0000-0500-000008000000}" name="Credit/Debit"/>
    <tableColumn id="9" xr3:uid="{00000000-0010-0000-0500-000009000000}" name="approved/Decline"/>
    <tableColumn id="10" xr3:uid="{00000000-0010-0000-0500-00000A000000}" name="CVM perfomred"/>
    <tableColumn id="11" xr3:uid="{00000000-0010-0000-0500-00000B000000}" name="TX ID"/>
    <tableColumn id="12" xr3:uid="{00000000-0010-0000-0500-00000C000000}" name="POS entry Mode"/>
    <tableColumn id="13" xr3:uid="{00000000-0010-0000-0500-00000D000000}" name="9F 33"/>
    <tableColumn id="14" xr3:uid="{00000000-0010-0000-0500-00000E000000}" name="Executed on"/>
    <tableColumn id="15" xr3:uid="{00000000-0010-0000-0500-00000F000000}" name="Stan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e6" displayName="Table6" ref="A5:D16" totalsRowShown="0" headerRowDxfId="37">
  <autoFilter ref="A5:D16" xr:uid="{00000000-0009-0000-0100-000006000000}"/>
  <tableColumns count="4">
    <tableColumn id="1" xr3:uid="{00000000-0010-0000-0600-000001000000}" name="Test Case"/>
    <tableColumn id="2" xr3:uid="{00000000-0010-0000-0600-000002000000}" name="Result"/>
    <tableColumn id="5" xr3:uid="{00000000-0010-0000-0600-000005000000}" name="UL Review" dataDxfId="36"/>
    <tableColumn id="3" xr3:uid="{00000000-0010-0000-0600-000003000000}" name="Assigned to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D10" totalsRowShown="0" headerRowDxfId="29">
  <autoFilter ref="A5:D10" xr:uid="{00000000-0009-0000-0100-000008000000}"/>
  <tableColumns count="4">
    <tableColumn id="1" xr3:uid="{00000000-0010-0000-0700-000001000000}" name="Test Case"/>
    <tableColumn id="2" xr3:uid="{00000000-0010-0000-0700-000002000000}" name="Result"/>
    <tableColumn id="4" xr3:uid="{00000000-0010-0000-0700-000004000000}" name="UL Review" dataDxfId="28"/>
    <tableColumn id="3" xr3:uid="{00000000-0010-0000-0700-000003000000}" name="Assigned to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Table4" displayName="Table4" ref="A5:D64" totalsRowShown="0" headerRowDxfId="21">
  <autoFilter ref="A5:D64" xr:uid="{00000000-0009-0000-0100-000004000000}"/>
  <tableColumns count="4">
    <tableColumn id="1" xr3:uid="{00000000-0010-0000-0800-000001000000}" name="Test Case"/>
    <tableColumn id="2" xr3:uid="{00000000-0010-0000-0800-000002000000}" name="Result"/>
    <tableColumn id="4" xr3:uid="{00000000-0010-0000-0800-000004000000}" name="UL Review" dataDxfId="20"/>
    <tableColumn id="3" xr3:uid="{00000000-0010-0000-0800-000003000000}" name="Assigned to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e2" displayName="Table2" ref="A5:D35" totalsRowShown="0" headerRowDxfId="1">
  <autoFilter ref="A5:D35" xr:uid="{00000000-0009-0000-0100-000002000000}"/>
  <tableColumns count="4">
    <tableColumn id="1" xr3:uid="{00000000-0010-0000-0900-000001000000}" name="Test Case"/>
    <tableColumn id="2" xr3:uid="{00000000-0010-0000-0900-000002000000}" name="Result"/>
    <tableColumn id="4" xr3:uid="{00000000-0010-0000-0900-000004000000}" name="UL Review" dataDxfId="0"/>
    <tableColumn id="3" xr3:uid="{00000000-0010-0000-0900-000003000000}" name="Assigned t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8D08D"/>
      </a:accent1>
      <a:accent2>
        <a:srgbClr val="FF9999"/>
      </a:accent2>
      <a:accent3>
        <a:srgbClr val="FFD96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6"/>
  <sheetViews>
    <sheetView showGridLines="0" zoomScaleNormal="100" workbookViewId="0">
      <selection activeCell="C21" sqref="C21"/>
    </sheetView>
  </sheetViews>
  <sheetFormatPr defaultRowHeight="14.5" x14ac:dyDescent="0.35"/>
  <cols>
    <col min="1" max="1" width="17.6328125" customWidth="1"/>
    <col min="2" max="2" width="26" customWidth="1"/>
    <col min="3" max="3" width="21.54296875" bestFit="1" customWidth="1"/>
    <col min="4" max="4" width="10.90625" customWidth="1"/>
    <col min="5" max="5" width="16.36328125" customWidth="1"/>
    <col min="6" max="6" width="24.36328125" customWidth="1"/>
    <col min="7" max="7" width="22.1796875" customWidth="1"/>
    <col min="8" max="8" width="22.54296875" customWidth="1"/>
  </cols>
  <sheetData>
    <row r="1" spans="1:10" ht="48.65" customHeight="1" x14ac:dyDescent="0.35">
      <c r="B1" s="13"/>
      <c r="C1" s="73" t="s">
        <v>222</v>
      </c>
      <c r="D1" s="73"/>
      <c r="E1" s="73"/>
      <c r="F1" s="73"/>
      <c r="G1" s="73"/>
      <c r="H1" s="13" t="s">
        <v>223</v>
      </c>
    </row>
    <row r="2" spans="1:10" x14ac:dyDescent="0.35">
      <c r="B2" s="12"/>
    </row>
    <row r="3" spans="1:10" ht="19.25" customHeight="1" x14ac:dyDescent="0.35">
      <c r="A3" t="s">
        <v>181</v>
      </c>
      <c r="B3" s="20" t="s">
        <v>182</v>
      </c>
      <c r="C3" s="42" t="s">
        <v>276</v>
      </c>
      <c r="E3" t="s">
        <v>205</v>
      </c>
      <c r="F3" s="21" t="s">
        <v>206</v>
      </c>
      <c r="G3" s="45">
        <v>43174</v>
      </c>
      <c r="H3" s="51" t="str">
        <f ca="1">CONCATENATE("Today is ",'Field Options'!D4)</f>
        <v>Today is 11/30/2018</v>
      </c>
    </row>
    <row r="4" spans="1:10" x14ac:dyDescent="0.35">
      <c r="B4" s="14" t="s">
        <v>183</v>
      </c>
      <c r="C4" s="43"/>
      <c r="F4" s="17"/>
      <c r="G4" s="17" t="s">
        <v>207</v>
      </c>
      <c r="H4" s="17" t="s">
        <v>208</v>
      </c>
    </row>
    <row r="5" spans="1:10" x14ac:dyDescent="0.35">
      <c r="B5" s="14" t="s">
        <v>187</v>
      </c>
      <c r="C5" s="43"/>
      <c r="F5" s="17" t="s">
        <v>188</v>
      </c>
      <c r="G5" s="46">
        <f>WORKDAY(G3,10,'Field Options'!G$2:G$12)</f>
        <v>43188</v>
      </c>
      <c r="H5" s="44">
        <v>43134</v>
      </c>
    </row>
    <row r="6" spans="1:10" x14ac:dyDescent="0.35">
      <c r="B6" s="14" t="s">
        <v>184</v>
      </c>
      <c r="C6" s="42" t="s">
        <v>190</v>
      </c>
      <c r="F6" s="17" t="s">
        <v>189</v>
      </c>
      <c r="G6" s="46">
        <f>WORKDAY(G5,5,'Field Options'!G$2:G$12)</f>
        <v>43195</v>
      </c>
      <c r="H6" s="44">
        <v>43138</v>
      </c>
    </row>
    <row r="7" spans="1:10" x14ac:dyDescent="0.35">
      <c r="F7" s="17" t="s">
        <v>190</v>
      </c>
      <c r="G7" s="46">
        <f>WORKDAY(G6,45,'Field Options'!G$2:G$12)</f>
        <v>43259</v>
      </c>
      <c r="H7" s="44"/>
    </row>
    <row r="8" spans="1:10" x14ac:dyDescent="0.35">
      <c r="A8" t="s">
        <v>200</v>
      </c>
      <c r="B8" s="18"/>
      <c r="C8" s="17" t="s">
        <v>204</v>
      </c>
      <c r="F8" s="17" t="s">
        <v>191</v>
      </c>
      <c r="G8" s="46">
        <f>WORKDAY(G7,8,'Field Options'!G$2:G$12)</f>
        <v>43271</v>
      </c>
      <c r="H8" s="44"/>
    </row>
    <row r="9" spans="1:10" x14ac:dyDescent="0.35">
      <c r="B9" s="17" t="s">
        <v>201</v>
      </c>
      <c r="C9" s="43"/>
      <c r="F9" s="17" t="s">
        <v>192</v>
      </c>
      <c r="G9" s="46">
        <f>WORKDAY(G8,13,'Field Options'!G$2:G$12)</f>
        <v>43291</v>
      </c>
      <c r="H9" s="44"/>
      <c r="J9" t="s">
        <v>252</v>
      </c>
    </row>
    <row r="10" spans="1:10" x14ac:dyDescent="0.35">
      <c r="B10" s="17" t="s">
        <v>202</v>
      </c>
      <c r="C10" s="43"/>
      <c r="F10" s="17" t="s">
        <v>193</v>
      </c>
      <c r="G10" s="46">
        <f>WORKDAY(G9,5,'Field Options'!G$2:G$12)</f>
        <v>43298</v>
      </c>
      <c r="H10" s="44"/>
      <c r="J10" t="s">
        <v>253</v>
      </c>
    </row>
    <row r="11" spans="1:10" x14ac:dyDescent="0.35">
      <c r="B11" s="17" t="s">
        <v>203</v>
      </c>
      <c r="C11" s="43"/>
    </row>
    <row r="12" spans="1:10" x14ac:dyDescent="0.35">
      <c r="B12" s="17" t="str">
        <f>C3</f>
        <v>&lt;&lt;Client Name&gt;&gt;</v>
      </c>
      <c r="C12" s="43"/>
    </row>
    <row r="14" spans="1:10" x14ac:dyDescent="0.35">
      <c r="A14" t="s">
        <v>219</v>
      </c>
      <c r="B14" s="17" t="s">
        <v>220</v>
      </c>
      <c r="C14" s="17" t="s">
        <v>221</v>
      </c>
    </row>
    <row r="15" spans="1:10" x14ac:dyDescent="0.35">
      <c r="B15" s="15" t="s">
        <v>228</v>
      </c>
      <c r="C15" s="43" t="s">
        <v>235</v>
      </c>
    </row>
    <row r="16" spans="1:10" x14ac:dyDescent="0.35">
      <c r="B16" s="15" t="s">
        <v>229</v>
      </c>
      <c r="C16" s="43" t="s">
        <v>234</v>
      </c>
    </row>
    <row r="17" spans="2:7" x14ac:dyDescent="0.35">
      <c r="B17" s="15" t="s">
        <v>230</v>
      </c>
      <c r="C17" s="43" t="s">
        <v>234</v>
      </c>
      <c r="G17" s="11"/>
    </row>
    <row r="18" spans="2:7" x14ac:dyDescent="0.35">
      <c r="B18" s="15" t="s">
        <v>231</v>
      </c>
      <c r="C18" s="43" t="s">
        <v>235</v>
      </c>
    </row>
    <row r="19" spans="2:7" x14ac:dyDescent="0.35">
      <c r="B19" s="15" t="s">
        <v>232</v>
      </c>
      <c r="C19" s="43" t="s">
        <v>234</v>
      </c>
    </row>
    <row r="20" spans="2:7" x14ac:dyDescent="0.35">
      <c r="B20" s="15" t="s">
        <v>224</v>
      </c>
      <c r="C20" s="43" t="s">
        <v>234</v>
      </c>
    </row>
    <row r="21" spans="2:7" x14ac:dyDescent="0.35">
      <c r="B21" s="15" t="s">
        <v>115</v>
      </c>
      <c r="C21" s="43" t="s">
        <v>235</v>
      </c>
    </row>
    <row r="22" spans="2:7" x14ac:dyDescent="0.35">
      <c r="B22" s="15" t="s">
        <v>225</v>
      </c>
      <c r="C22" s="43" t="s">
        <v>235</v>
      </c>
    </row>
    <row r="23" spans="2:7" x14ac:dyDescent="0.35">
      <c r="B23" s="15" t="s">
        <v>226</v>
      </c>
      <c r="C23" s="43" t="s">
        <v>275</v>
      </c>
    </row>
    <row r="24" spans="2:7" x14ac:dyDescent="0.35">
      <c r="B24" s="15" t="s">
        <v>227</v>
      </c>
      <c r="C24" s="43" t="s">
        <v>235</v>
      </c>
    </row>
    <row r="25" spans="2:7" x14ac:dyDescent="0.35">
      <c r="B25" s="15" t="s">
        <v>114</v>
      </c>
      <c r="C25" s="43" t="s">
        <v>275</v>
      </c>
    </row>
    <row r="26" spans="2:7" x14ac:dyDescent="0.35">
      <c r="B26" s="15" t="s">
        <v>49</v>
      </c>
      <c r="C26" s="43" t="s">
        <v>275</v>
      </c>
    </row>
  </sheetData>
  <sheetProtection algorithmName="SHA-512" hashValue="wykWmnmulZplqXEBsjgkB04X7tYasf3UboZKoosuTEDh6Qq5BYMkNDKe3HWfw+52PflD9WNXX2JyFceH7D0Qxg==" saltValue="uom02R6TQH4OAW5C49dDIw==" spinCount="100000" sheet="1" objects="1" scenarios="1"/>
  <protectedRanges>
    <protectedRange sqref="C3:C6 C9:C12 C15:C26 H5:H10" name="Range1"/>
  </protectedRanges>
  <mergeCells count="1">
    <mergeCell ref="C1:G1"/>
  </mergeCells>
  <conditionalFormatting sqref="C15">
    <cfRule type="cellIs" dxfId="110" priority="3" operator="equal">
      <formula>"Please select…"</formula>
    </cfRule>
  </conditionalFormatting>
  <conditionalFormatting sqref="C16:C26">
    <cfRule type="cellIs" dxfId="109" priority="2" operator="equal">
      <formula>"Please select…"</formula>
    </cfRule>
  </conditionalFormatting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'Field Options'!$B$3:$B$8</xm:f>
          </x14:formula1>
          <xm:sqref>C6</xm:sqref>
        </x14:dataValidation>
        <x14:dataValidation type="list" allowBlank="1" showInputMessage="1" showErrorMessage="1" xr:uid="{00000000-0002-0000-0000-000001000000}">
          <x14:formula1>
            <xm:f>'Field Options'!$B$36:$B$38</xm:f>
          </x14:formula1>
          <xm:sqref>C15:C26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/>
  <dimension ref="B2:E17"/>
  <sheetViews>
    <sheetView workbookViewId="0">
      <selection activeCell="F22" sqref="F22"/>
    </sheetView>
  </sheetViews>
  <sheetFormatPr defaultRowHeight="14.5" x14ac:dyDescent="0.35"/>
  <cols>
    <col min="2" max="2" width="21.54296875" customWidth="1"/>
    <col min="3" max="3" width="9.54296875" customWidth="1"/>
    <col min="5" max="5" width="9.54296875" customWidth="1"/>
  </cols>
  <sheetData>
    <row r="2" spans="2:5" x14ac:dyDescent="0.35">
      <c r="B2" t="s">
        <v>236</v>
      </c>
      <c r="C2" t="s">
        <v>117</v>
      </c>
      <c r="D2" t="s">
        <v>237</v>
      </c>
      <c r="E2" t="s">
        <v>238</v>
      </c>
    </row>
    <row r="3" spans="2:5" x14ac:dyDescent="0.35">
      <c r="B3" t="s">
        <v>239</v>
      </c>
      <c r="C3" s="22">
        <f>Overview!G3</f>
        <v>43174</v>
      </c>
      <c r="D3">
        <f>_xlfn.DAYS(E3,C3)</f>
        <v>14</v>
      </c>
      <c r="E3" s="19">
        <f>Overview!G5</f>
        <v>43188</v>
      </c>
    </row>
    <row r="4" spans="2:5" x14ac:dyDescent="0.35">
      <c r="B4" t="s">
        <v>240</v>
      </c>
      <c r="C4" s="22">
        <f>E3</f>
        <v>43188</v>
      </c>
      <c r="D4">
        <f t="shared" ref="D4:D14" si="0">_xlfn.DAYS(E4,C4)</f>
        <v>7</v>
      </c>
      <c r="E4" s="19">
        <f>Overview!G6</f>
        <v>43195</v>
      </c>
    </row>
    <row r="5" spans="2:5" x14ac:dyDescent="0.35">
      <c r="B5" t="s">
        <v>241</v>
      </c>
      <c r="C5" s="22">
        <f t="shared" ref="C5:C8" si="1">E4</f>
        <v>43195</v>
      </c>
      <c r="D5">
        <f t="shared" si="0"/>
        <v>64</v>
      </c>
      <c r="E5" s="19">
        <f>Overview!G7</f>
        <v>43259</v>
      </c>
    </row>
    <row r="6" spans="2:5" x14ac:dyDescent="0.35">
      <c r="B6" t="s">
        <v>242</v>
      </c>
      <c r="C6" s="22">
        <f t="shared" si="1"/>
        <v>43259</v>
      </c>
      <c r="D6">
        <f t="shared" si="0"/>
        <v>12</v>
      </c>
      <c r="E6" s="19">
        <f>Overview!G8</f>
        <v>43271</v>
      </c>
    </row>
    <row r="7" spans="2:5" x14ac:dyDescent="0.35">
      <c r="B7" t="s">
        <v>243</v>
      </c>
      <c r="C7" s="22">
        <f t="shared" si="1"/>
        <v>43271</v>
      </c>
      <c r="D7">
        <f t="shared" si="0"/>
        <v>20</v>
      </c>
      <c r="E7" s="19">
        <f>Overview!G9</f>
        <v>43291</v>
      </c>
    </row>
    <row r="8" spans="2:5" x14ac:dyDescent="0.35">
      <c r="B8" t="s">
        <v>244</v>
      </c>
      <c r="C8" s="22">
        <f t="shared" si="1"/>
        <v>43291</v>
      </c>
      <c r="D8">
        <f t="shared" si="0"/>
        <v>7</v>
      </c>
      <c r="E8" s="19">
        <f>Overview!G10</f>
        <v>43298</v>
      </c>
    </row>
    <row r="9" spans="2:5" x14ac:dyDescent="0.35">
      <c r="B9" t="s">
        <v>245</v>
      </c>
      <c r="C9" s="19">
        <f>C3</f>
        <v>43174</v>
      </c>
      <c r="D9">
        <f t="shared" si="0"/>
        <v>-40</v>
      </c>
      <c r="E9" s="19">
        <f>Overview!H5</f>
        <v>43134</v>
      </c>
    </row>
    <row r="10" spans="2:5" x14ac:dyDescent="0.35">
      <c r="B10" t="s">
        <v>246</v>
      </c>
      <c r="C10" s="19">
        <f>E9</f>
        <v>43134</v>
      </c>
      <c r="D10">
        <f t="shared" si="0"/>
        <v>4</v>
      </c>
      <c r="E10" s="19">
        <f>Overview!H6</f>
        <v>43138</v>
      </c>
    </row>
    <row r="11" spans="2:5" x14ac:dyDescent="0.35">
      <c r="B11" t="s">
        <v>247</v>
      </c>
      <c r="C11" s="19">
        <f t="shared" ref="C11:C14" si="2">E10</f>
        <v>43138</v>
      </c>
      <c r="D11">
        <f t="shared" si="0"/>
        <v>-43138</v>
      </c>
      <c r="E11" s="19">
        <f>Overview!H7</f>
        <v>0</v>
      </c>
    </row>
    <row r="12" spans="2:5" x14ac:dyDescent="0.35">
      <c r="B12" t="s">
        <v>248</v>
      </c>
      <c r="C12" s="19">
        <f t="shared" si="2"/>
        <v>0</v>
      </c>
      <c r="D12">
        <f t="shared" si="0"/>
        <v>0</v>
      </c>
      <c r="E12" s="19">
        <f>Overview!H8</f>
        <v>0</v>
      </c>
    </row>
    <row r="13" spans="2:5" x14ac:dyDescent="0.35">
      <c r="B13" t="s">
        <v>249</v>
      </c>
      <c r="C13" s="19">
        <f t="shared" si="2"/>
        <v>0</v>
      </c>
      <c r="D13">
        <f t="shared" si="0"/>
        <v>0</v>
      </c>
      <c r="E13" s="19">
        <f>Overview!H9</f>
        <v>0</v>
      </c>
    </row>
    <row r="14" spans="2:5" x14ac:dyDescent="0.35">
      <c r="B14" t="s">
        <v>250</v>
      </c>
      <c r="C14" s="19">
        <f t="shared" si="2"/>
        <v>0</v>
      </c>
      <c r="D14">
        <f t="shared" si="0"/>
        <v>0</v>
      </c>
      <c r="E14" s="19">
        <f>Overview!H10</f>
        <v>0</v>
      </c>
    </row>
    <row r="16" spans="2:5" x14ac:dyDescent="0.35">
      <c r="B16" t="s">
        <v>118</v>
      </c>
      <c r="C16" s="10">
        <f ca="1">TODAY()</f>
        <v>43434</v>
      </c>
    </row>
    <row r="17" spans="3:3" x14ac:dyDescent="0.35">
      <c r="C17" s="10">
        <f ca="1">TODAY()</f>
        <v>43434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20"/>
  <sheetViews>
    <sheetView showGridLines="0" zoomScale="85" zoomScaleNormal="85" workbookViewId="0">
      <selection activeCell="F5" sqref="F5"/>
    </sheetView>
  </sheetViews>
  <sheetFormatPr defaultRowHeight="14.5" x14ac:dyDescent="0.35"/>
  <cols>
    <col min="1" max="1" width="26" customWidth="1"/>
    <col min="2" max="2" width="9.08984375" style="24" customWidth="1"/>
    <col min="3" max="3" width="8.81640625" style="24" customWidth="1"/>
    <col min="4" max="4" width="9.81640625" style="24" customWidth="1"/>
    <col min="5" max="5" width="8.81640625" style="24" customWidth="1"/>
    <col min="6" max="6" width="28.453125" customWidth="1"/>
    <col min="7" max="7" width="8.1796875" style="59" customWidth="1"/>
    <col min="8" max="8" width="8.08984375" style="59" customWidth="1"/>
    <col min="9" max="9" width="11.453125" style="59" customWidth="1"/>
    <col min="10" max="10" width="8.90625" style="59" customWidth="1"/>
    <col min="11" max="11" width="17.90625" style="59" customWidth="1"/>
    <col min="12" max="12" width="5" style="59" customWidth="1"/>
    <col min="13" max="13" width="21.453125" style="59" customWidth="1"/>
    <col min="14" max="14" width="4.81640625" style="59" customWidth="1"/>
  </cols>
  <sheetData>
    <row r="1" spans="1:14" ht="23.4" customHeight="1" x14ac:dyDescent="0.35">
      <c r="A1" s="25" t="s">
        <v>220</v>
      </c>
      <c r="B1" s="26" t="s">
        <v>1</v>
      </c>
      <c r="C1" s="27" t="s">
        <v>2</v>
      </c>
      <c r="D1" s="28" t="s">
        <v>3</v>
      </c>
      <c r="E1" s="29" t="s">
        <v>254</v>
      </c>
      <c r="F1" s="39" t="s">
        <v>277</v>
      </c>
      <c r="G1" s="52" t="s">
        <v>1</v>
      </c>
      <c r="H1" s="53" t="e">
        <f>B16</f>
        <v>#REF!</v>
      </c>
      <c r="I1" s="54" t="s">
        <v>278</v>
      </c>
      <c r="J1" s="55" t="e">
        <f>B17</f>
        <v>#REF!</v>
      </c>
      <c r="K1" s="56" t="s">
        <v>280</v>
      </c>
      <c r="L1" s="57">
        <f ca="1">B19</f>
        <v>206</v>
      </c>
      <c r="M1" s="54" t="s">
        <v>281</v>
      </c>
      <c r="N1" s="58">
        <f ca="1">B20</f>
        <v>-131</v>
      </c>
    </row>
    <row r="2" spans="1:14" x14ac:dyDescent="0.35">
      <c r="A2" s="30" t="s">
        <v>228</v>
      </c>
      <c r="B2" s="31" t="e">
        <f>'AMEX CT'!#REF!*F2</f>
        <v>#REF!</v>
      </c>
      <c r="C2" s="32" t="e">
        <f>'AMEX CT'!#REF!*F2</f>
        <v>#REF!</v>
      </c>
      <c r="D2" s="33" t="e">
        <f>'AMEX CT'!#REF!*F2</f>
        <v>#REF!</v>
      </c>
      <c r="E2" s="34" t="e">
        <f>'AMEX CT'!#REF!*F2</f>
        <v>#REF!</v>
      </c>
      <c r="F2" s="39">
        <f>IF(Overview!C15="Yes",1,0)</f>
        <v>1</v>
      </c>
    </row>
    <row r="3" spans="1:14" hidden="1" x14ac:dyDescent="0.35">
      <c r="A3" s="30" t="s">
        <v>229</v>
      </c>
      <c r="B3" s="31">
        <f>'AMEX CTL'!B1*F3</f>
        <v>0</v>
      </c>
      <c r="C3" s="32">
        <f>'AMEX CTL'!B2*F3</f>
        <v>0</v>
      </c>
      <c r="D3" s="33">
        <f>'AMEX CTL'!B3*F3</f>
        <v>0</v>
      </c>
      <c r="E3" s="34">
        <f>'AMEX CTL'!B4*F3</f>
        <v>0</v>
      </c>
      <c r="F3" s="39">
        <f>IF(Overview!C16="Yes",1,0)</f>
        <v>0</v>
      </c>
    </row>
    <row r="4" spans="1:14" hidden="1" x14ac:dyDescent="0.35">
      <c r="A4" s="30" t="s">
        <v>230</v>
      </c>
      <c r="B4" s="31">
        <f>'AMEX QC'!B1*F4</f>
        <v>0</v>
      </c>
      <c r="C4" s="32">
        <f>'AMEX QC'!B2*F4</f>
        <v>0</v>
      </c>
      <c r="D4" s="33">
        <f>'AMEX QC'!B3*F4</f>
        <v>0</v>
      </c>
      <c r="E4" s="34">
        <f>'AMEX QC'!B4*F4</f>
        <v>0</v>
      </c>
      <c r="F4" s="39">
        <f>IF(Overview!C17="Yes",1,0)</f>
        <v>0</v>
      </c>
    </row>
    <row r="5" spans="1:14" x14ac:dyDescent="0.35">
      <c r="A5" s="30" t="s">
        <v>231</v>
      </c>
      <c r="B5" s="31" t="e">
        <f>'Discover CT'!#REF!*F5</f>
        <v>#REF!</v>
      </c>
      <c r="C5" s="32" t="e">
        <f>'Discover CT'!#REF!*F5</f>
        <v>#REF!</v>
      </c>
      <c r="D5" s="33" t="e">
        <f>'Discover CT'!#REF!*F5</f>
        <v>#REF!</v>
      </c>
      <c r="E5" s="34" t="e">
        <f>'Discover CT'!#REF!*F5</f>
        <v>#REF!</v>
      </c>
      <c r="F5" s="39">
        <f>IF(Overview!C18="Yes",1,0)</f>
        <v>1</v>
      </c>
    </row>
    <row r="6" spans="1:14" hidden="1" x14ac:dyDescent="0.35">
      <c r="A6" s="30" t="s">
        <v>232</v>
      </c>
      <c r="B6" s="31">
        <f>'Discover CTL'!B1*F6</f>
        <v>0</v>
      </c>
      <c r="C6" s="32">
        <f>'Discover CTL'!B2*F6</f>
        <v>0</v>
      </c>
      <c r="D6" s="33">
        <f>'Discover CTL'!B3*F6</f>
        <v>0</v>
      </c>
      <c r="E6" s="34">
        <f>'Discover CTL'!B4*F6</f>
        <v>0</v>
      </c>
      <c r="F6" s="39">
        <f>IF(Overview!C19="Yes",1,0)</f>
        <v>0</v>
      </c>
    </row>
    <row r="7" spans="1:14" hidden="1" x14ac:dyDescent="0.35">
      <c r="A7" s="30" t="s">
        <v>224</v>
      </c>
      <c r="B7" s="31">
        <f>'FD Superset'!B1*F7</f>
        <v>0</v>
      </c>
      <c r="C7" s="32">
        <f>'FD Superset'!B2*F7</f>
        <v>0</v>
      </c>
      <c r="D7" s="33">
        <f>'FD Superset'!B3*F7</f>
        <v>0</v>
      </c>
      <c r="E7" s="34">
        <f>'FD Superset'!B4*F7</f>
        <v>0</v>
      </c>
      <c r="F7" s="39">
        <f>IF(Overview!C20="Yes",1,0)</f>
        <v>0</v>
      </c>
    </row>
    <row r="8" spans="1:14" x14ac:dyDescent="0.35">
      <c r="A8" s="30" t="s">
        <v>115</v>
      </c>
      <c r="B8" s="31">
        <f>MasterCard!B1*F8</f>
        <v>0</v>
      </c>
      <c r="C8" s="32">
        <f>MasterCard!B2*F8</f>
        <v>7</v>
      </c>
      <c r="D8" s="33">
        <f>MasterCard!B3*F8</f>
        <v>0</v>
      </c>
      <c r="E8" s="34">
        <f>MasterCard!B4*F8</f>
        <v>7</v>
      </c>
      <c r="F8" s="39">
        <f>IF(Overview!C21="Yes",1,0)</f>
        <v>1</v>
      </c>
    </row>
    <row r="9" spans="1:14" x14ac:dyDescent="0.35">
      <c r="A9" s="30" t="s">
        <v>225</v>
      </c>
      <c r="B9" s="31" t="e">
        <f>'VISA CT'!B1*F9</f>
        <v>#REF!</v>
      </c>
      <c r="C9" s="32" t="e">
        <f>'VISA CT'!B2*F9</f>
        <v>#REF!</v>
      </c>
      <c r="D9" s="33" t="e">
        <f>'VISA CT'!B3*F9</f>
        <v>#REF!</v>
      </c>
      <c r="E9" s="34">
        <f>'VISA CT'!B4*F9</f>
        <v>1</v>
      </c>
      <c r="F9" s="39">
        <f>IF(Overview!C22="Yes",1,0)</f>
        <v>1</v>
      </c>
    </row>
    <row r="10" spans="1:14" hidden="1" x14ac:dyDescent="0.35">
      <c r="A10" s="30" t="s">
        <v>226</v>
      </c>
      <c r="B10" s="31">
        <f>'VISA CTL'!B1*F10</f>
        <v>0</v>
      </c>
      <c r="C10" s="32">
        <f>'VISA CTL'!B2*F10</f>
        <v>0</v>
      </c>
      <c r="D10" s="33">
        <f>'VISA CTL'!B3*F10</f>
        <v>0</v>
      </c>
      <c r="E10" s="34">
        <f>'VISA CTL'!B4*F10</f>
        <v>0</v>
      </c>
      <c r="F10" s="39">
        <f>IF(Overview!C23="Yes",1,0)</f>
        <v>0</v>
      </c>
    </row>
    <row r="11" spans="1:14" x14ac:dyDescent="0.35">
      <c r="A11" s="30" t="s">
        <v>227</v>
      </c>
      <c r="B11" s="31">
        <f>'VISA US Debit'!B1*F11</f>
        <v>0</v>
      </c>
      <c r="C11" s="32">
        <f>'VISA US Debit'!B2*F11</f>
        <v>0</v>
      </c>
      <c r="D11" s="33">
        <f>'VISA US Debit'!B3*F11</f>
        <v>5</v>
      </c>
      <c r="E11" s="34">
        <f>'VISA US Debit'!B4*F11</f>
        <v>5</v>
      </c>
      <c r="F11" s="39">
        <f>IF(Overview!C24="Yes",1,0)</f>
        <v>1</v>
      </c>
    </row>
    <row r="12" spans="1:14" hidden="1" x14ac:dyDescent="0.35">
      <c r="A12" s="30" t="s">
        <v>114</v>
      </c>
      <c r="B12" s="31">
        <f>Interac!B1*F12</f>
        <v>0</v>
      </c>
      <c r="C12" s="32">
        <f>Interac!B2*F12</f>
        <v>0</v>
      </c>
      <c r="D12" s="33">
        <f>Interac!B3*F12</f>
        <v>0</v>
      </c>
      <c r="E12" s="34">
        <f>Interac!B4*F12</f>
        <v>0</v>
      </c>
      <c r="F12" s="39">
        <f>IF(Overview!C25="Yes",1,0)</f>
        <v>0</v>
      </c>
    </row>
    <row r="13" spans="1:14" hidden="1" x14ac:dyDescent="0.35">
      <c r="A13" s="23" t="s">
        <v>49</v>
      </c>
      <c r="B13" s="35">
        <f>DNA!B1*F13</f>
        <v>0</v>
      </c>
      <c r="C13" s="36">
        <f>DNA!B2*F13</f>
        <v>0</v>
      </c>
      <c r="D13" s="37">
        <f>DNA!B3*F13</f>
        <v>0</v>
      </c>
      <c r="E13" s="38">
        <f>DNA!B4*F13</f>
        <v>0</v>
      </c>
      <c r="F13" s="39">
        <f>IF(Overview!C26="Yes",1,0)</f>
        <v>0</v>
      </c>
    </row>
    <row r="14" spans="1:14" x14ac:dyDescent="0.35">
      <c r="G14" s="60"/>
    </row>
    <row r="16" spans="1:14" x14ac:dyDescent="0.35">
      <c r="A16" t="s">
        <v>1</v>
      </c>
      <c r="B16" s="40" t="e">
        <f>SUM(B$2:B$13)/SUM(E$2:E$13)</f>
        <v>#REF!</v>
      </c>
    </row>
    <row r="17" spans="1:2" x14ac:dyDescent="0.35">
      <c r="A17" t="s">
        <v>278</v>
      </c>
      <c r="B17" s="40" t="e">
        <f>1-B16</f>
        <v>#REF!</v>
      </c>
    </row>
    <row r="19" spans="1:2" x14ac:dyDescent="0.35">
      <c r="A19" t="s">
        <v>119</v>
      </c>
      <c r="B19" s="41">
        <f ca="1">NETWORKDAYS(Overview!H6,TODAY(),'Field Options'!G2:G12)</f>
        <v>206</v>
      </c>
    </row>
    <row r="20" spans="1:2" x14ac:dyDescent="0.35">
      <c r="A20" t="s">
        <v>120</v>
      </c>
      <c r="B20" s="41">
        <f ca="1">NETWORKDAYS(TODAY(),Overview!G7,'Field Options'!G2:G12)-10</f>
        <v>-131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38"/>
  <sheetViews>
    <sheetView workbookViewId="0">
      <selection activeCell="H12" sqref="H12"/>
    </sheetView>
  </sheetViews>
  <sheetFormatPr defaultRowHeight="14.5" x14ac:dyDescent="0.35"/>
  <cols>
    <col min="2" max="2" width="26.08984375" customWidth="1"/>
    <col min="3" max="3" width="8.1796875" customWidth="1"/>
    <col min="4" max="4" width="20.36328125" customWidth="1"/>
    <col min="6" max="6" width="20.81640625" bestFit="1" customWidth="1"/>
    <col min="7" max="7" width="10.54296875" customWidth="1"/>
    <col min="8" max="8" width="19.453125" customWidth="1"/>
  </cols>
  <sheetData>
    <row r="2" spans="2:8" x14ac:dyDescent="0.35">
      <c r="B2" s="16" t="s">
        <v>184</v>
      </c>
      <c r="D2" s="16" t="s">
        <v>118</v>
      </c>
      <c r="F2" s="16" t="s">
        <v>209</v>
      </c>
      <c r="G2" s="19">
        <v>43101</v>
      </c>
      <c r="H2" t="s">
        <v>210</v>
      </c>
    </row>
    <row r="3" spans="2:8" x14ac:dyDescent="0.35">
      <c r="B3" t="s">
        <v>188</v>
      </c>
      <c r="D3" s="10">
        <f ca="1">TODAY()</f>
        <v>43434</v>
      </c>
      <c r="G3" s="19">
        <v>43115</v>
      </c>
      <c r="H3" t="s">
        <v>211</v>
      </c>
    </row>
    <row r="4" spans="2:8" x14ac:dyDescent="0.35">
      <c r="B4" t="s">
        <v>189</v>
      </c>
      <c r="D4" t="str">
        <f ca="1">TEXT(D3,"MM/DD/YYYY")</f>
        <v>11/30/2018</v>
      </c>
      <c r="G4" s="19">
        <v>43248</v>
      </c>
      <c r="H4" t="s">
        <v>212</v>
      </c>
    </row>
    <row r="5" spans="2:8" x14ac:dyDescent="0.35">
      <c r="B5" t="s">
        <v>190</v>
      </c>
      <c r="G5" s="19">
        <v>43285</v>
      </c>
      <c r="H5" t="s">
        <v>213</v>
      </c>
    </row>
    <row r="6" spans="2:8" x14ac:dyDescent="0.35">
      <c r="B6" t="s">
        <v>191</v>
      </c>
      <c r="G6" s="19">
        <v>43346</v>
      </c>
      <c r="H6" t="s">
        <v>214</v>
      </c>
    </row>
    <row r="7" spans="2:8" x14ac:dyDescent="0.35">
      <c r="B7" t="s">
        <v>192</v>
      </c>
      <c r="G7" s="19">
        <v>43426</v>
      </c>
      <c r="H7" t="s">
        <v>215</v>
      </c>
    </row>
    <row r="8" spans="2:8" x14ac:dyDescent="0.35">
      <c r="B8" t="s">
        <v>193</v>
      </c>
      <c r="G8" s="19">
        <v>43427</v>
      </c>
      <c r="H8" t="s">
        <v>216</v>
      </c>
    </row>
    <row r="9" spans="2:8" x14ac:dyDescent="0.35">
      <c r="G9" s="19">
        <v>43458</v>
      </c>
      <c r="H9" t="s">
        <v>217</v>
      </c>
    </row>
    <row r="10" spans="2:8" x14ac:dyDescent="0.35">
      <c r="B10" s="16" t="s">
        <v>185</v>
      </c>
      <c r="G10" s="19">
        <v>43459</v>
      </c>
      <c r="H10" t="s">
        <v>218</v>
      </c>
    </row>
    <row r="11" spans="2:8" x14ac:dyDescent="0.35">
      <c r="B11" t="s">
        <v>194</v>
      </c>
      <c r="F11" s="16" t="s">
        <v>303</v>
      </c>
      <c r="G11" s="19">
        <v>43150</v>
      </c>
      <c r="H11" t="s">
        <v>304</v>
      </c>
    </row>
    <row r="12" spans="2:8" x14ac:dyDescent="0.35">
      <c r="B12" t="s">
        <v>195</v>
      </c>
      <c r="G12" s="19">
        <v>43416</v>
      </c>
      <c r="H12" t="s">
        <v>305</v>
      </c>
    </row>
    <row r="13" spans="2:8" x14ac:dyDescent="0.35">
      <c r="B13" t="s">
        <v>196</v>
      </c>
      <c r="G13" s="19"/>
    </row>
    <row r="14" spans="2:8" x14ac:dyDescent="0.35">
      <c r="G14" s="19"/>
    </row>
    <row r="15" spans="2:8" x14ac:dyDescent="0.35">
      <c r="B15" s="16" t="s">
        <v>186</v>
      </c>
      <c r="G15" s="19"/>
    </row>
    <row r="16" spans="2:8" x14ac:dyDescent="0.35">
      <c r="B16" t="s">
        <v>198</v>
      </c>
      <c r="G16" s="19"/>
    </row>
    <row r="17" spans="2:7" x14ac:dyDescent="0.35">
      <c r="B17" t="s">
        <v>197</v>
      </c>
      <c r="G17" s="19"/>
    </row>
    <row r="18" spans="2:7" x14ac:dyDescent="0.35">
      <c r="B18" t="s">
        <v>199</v>
      </c>
      <c r="G18" s="19"/>
    </row>
    <row r="19" spans="2:7" x14ac:dyDescent="0.35">
      <c r="G19" s="19"/>
    </row>
    <row r="35" spans="2:2" x14ac:dyDescent="0.35">
      <c r="B35" s="16" t="s">
        <v>233</v>
      </c>
    </row>
    <row r="36" spans="2:2" x14ac:dyDescent="0.35">
      <c r="B36" t="s">
        <v>235</v>
      </c>
    </row>
    <row r="37" spans="2:2" x14ac:dyDescent="0.35">
      <c r="B37" t="s">
        <v>234</v>
      </c>
    </row>
    <row r="38" spans="2:2" x14ac:dyDescent="0.35">
      <c r="B38" t="s">
        <v>275</v>
      </c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37"/>
  <sheetViews>
    <sheetView tabSelected="1" workbookViewId="0">
      <selection activeCell="A2" sqref="A2"/>
    </sheetView>
  </sheetViews>
  <sheetFormatPr defaultRowHeight="14.5" x14ac:dyDescent="0.35"/>
  <cols>
    <col min="1" max="1" width="22.453125" customWidth="1"/>
    <col min="3" max="3" width="56.6328125" customWidth="1"/>
    <col min="5" max="5" width="14.08984375" customWidth="1"/>
    <col min="10" max="10" width="18.1796875" customWidth="1"/>
  </cols>
  <sheetData>
    <row r="1" spans="1:15" x14ac:dyDescent="0.35">
      <c r="A1" s="4" t="s">
        <v>0</v>
      </c>
      <c r="B1" s="4" t="s">
        <v>5</v>
      </c>
      <c r="C1" s="4" t="s">
        <v>141</v>
      </c>
      <c r="D1" s="4" t="s">
        <v>251</v>
      </c>
      <c r="E1" s="61" t="s">
        <v>306</v>
      </c>
      <c r="F1" s="61" t="s">
        <v>307</v>
      </c>
      <c r="G1" s="61" t="s">
        <v>308</v>
      </c>
      <c r="H1" s="61" t="s">
        <v>309</v>
      </c>
      <c r="I1" s="61" t="s">
        <v>310</v>
      </c>
      <c r="J1" s="61" t="s">
        <v>311</v>
      </c>
      <c r="K1" s="61" t="s">
        <v>312</v>
      </c>
      <c r="L1" s="61" t="s">
        <v>313</v>
      </c>
      <c r="M1" s="61" t="s">
        <v>314</v>
      </c>
      <c r="N1" s="61" t="s">
        <v>315</v>
      </c>
      <c r="O1" s="61" t="s">
        <v>316</v>
      </c>
    </row>
    <row r="2" spans="1:15" x14ac:dyDescent="0.35">
      <c r="A2" t="s">
        <v>389</v>
      </c>
      <c r="B2" t="s">
        <v>1</v>
      </c>
      <c r="C2" s="5"/>
    </row>
    <row r="3" spans="1:15" x14ac:dyDescent="0.35">
      <c r="A3" t="s">
        <v>422</v>
      </c>
      <c r="B3" t="s">
        <v>1</v>
      </c>
      <c r="C3" s="5"/>
    </row>
    <row r="4" spans="1:15" x14ac:dyDescent="0.35">
      <c r="A4" t="s">
        <v>390</v>
      </c>
      <c r="B4" t="s">
        <v>1</v>
      </c>
      <c r="C4" s="5"/>
    </row>
    <row r="5" spans="1:15" x14ac:dyDescent="0.35">
      <c r="A5" t="s">
        <v>391</v>
      </c>
      <c r="B5" t="s">
        <v>1</v>
      </c>
      <c r="C5" s="5"/>
    </row>
    <row r="6" spans="1:15" x14ac:dyDescent="0.35">
      <c r="A6" t="s">
        <v>392</v>
      </c>
      <c r="B6" t="s">
        <v>1</v>
      </c>
      <c r="C6" s="5"/>
    </row>
    <row r="7" spans="1:15" x14ac:dyDescent="0.35">
      <c r="A7" t="s">
        <v>393</v>
      </c>
      <c r="B7" t="s">
        <v>1</v>
      </c>
      <c r="C7" s="5"/>
    </row>
    <row r="8" spans="1:15" x14ac:dyDescent="0.35">
      <c r="A8" t="s">
        <v>394</v>
      </c>
      <c r="B8" t="s">
        <v>1</v>
      </c>
      <c r="C8" s="5"/>
    </row>
    <row r="9" spans="1:15" x14ac:dyDescent="0.35">
      <c r="A9" t="s">
        <v>395</v>
      </c>
      <c r="B9" t="s">
        <v>1</v>
      </c>
      <c r="C9" s="5"/>
    </row>
    <row r="10" spans="1:15" x14ac:dyDescent="0.35">
      <c r="A10" t="s">
        <v>396</v>
      </c>
      <c r="B10" t="s">
        <v>1</v>
      </c>
      <c r="C10" s="5"/>
    </row>
    <row r="11" spans="1:15" x14ac:dyDescent="0.35">
      <c r="A11" t="s">
        <v>397</v>
      </c>
      <c r="B11" t="s">
        <v>1</v>
      </c>
      <c r="C11" s="5"/>
    </row>
    <row r="12" spans="1:15" x14ac:dyDescent="0.35">
      <c r="A12" t="s">
        <v>398</v>
      </c>
      <c r="B12" t="s">
        <v>1</v>
      </c>
      <c r="C12" s="5"/>
    </row>
    <row r="13" spans="1:15" x14ac:dyDescent="0.35">
      <c r="A13" t="s">
        <v>399</v>
      </c>
      <c r="B13" t="s">
        <v>1</v>
      </c>
      <c r="C13" s="5"/>
    </row>
    <row r="14" spans="1:15" ht="29" x14ac:dyDescent="0.35">
      <c r="A14" t="s">
        <v>400</v>
      </c>
      <c r="B14" t="s">
        <v>1</v>
      </c>
      <c r="C14" s="5" t="s">
        <v>317</v>
      </c>
    </row>
    <row r="15" spans="1:15" x14ac:dyDescent="0.35">
      <c r="A15" t="s">
        <v>401</v>
      </c>
      <c r="B15" t="s">
        <v>1</v>
      </c>
      <c r="C15" s="5"/>
    </row>
    <row r="16" spans="1:15" ht="29" x14ac:dyDescent="0.35">
      <c r="A16" t="s">
        <v>402</v>
      </c>
      <c r="B16" t="s">
        <v>1</v>
      </c>
      <c r="C16" s="5" t="s">
        <v>318</v>
      </c>
    </row>
    <row r="17" spans="1:15" x14ac:dyDescent="0.35">
      <c r="A17" t="s">
        <v>403</v>
      </c>
      <c r="B17" t="s">
        <v>1</v>
      </c>
      <c r="C17" s="5"/>
    </row>
    <row r="18" spans="1:15" x14ac:dyDescent="0.35">
      <c r="A18" t="s">
        <v>404</v>
      </c>
      <c r="B18" t="s">
        <v>1</v>
      </c>
      <c r="C18" s="5"/>
    </row>
    <row r="19" spans="1:15" x14ac:dyDescent="0.35">
      <c r="A19" t="s">
        <v>405</v>
      </c>
      <c r="B19" t="s">
        <v>1</v>
      </c>
      <c r="C19" s="5"/>
    </row>
    <row r="20" spans="1:15" x14ac:dyDescent="0.35">
      <c r="A20" t="s">
        <v>406</v>
      </c>
      <c r="B20" t="s">
        <v>2</v>
      </c>
      <c r="C20" s="5" t="s">
        <v>326</v>
      </c>
      <c r="E20" t="s">
        <v>320</v>
      </c>
      <c r="F20" t="s">
        <v>319</v>
      </c>
      <c r="G20" s="62">
        <v>51</v>
      </c>
      <c r="H20" t="s">
        <v>322</v>
      </c>
      <c r="I20" t="s">
        <v>331</v>
      </c>
      <c r="J20" t="s">
        <v>323</v>
      </c>
      <c r="L20" s="63" t="s">
        <v>324</v>
      </c>
      <c r="M20" t="s">
        <v>325</v>
      </c>
      <c r="N20" t="s">
        <v>321</v>
      </c>
      <c r="O20">
        <v>180163</v>
      </c>
    </row>
    <row r="21" spans="1:15" x14ac:dyDescent="0.35">
      <c r="A21" t="s">
        <v>407</v>
      </c>
      <c r="B21" t="s">
        <v>2</v>
      </c>
      <c r="C21" s="5" t="s">
        <v>329</v>
      </c>
      <c r="E21" t="s">
        <v>327</v>
      </c>
      <c r="F21" t="s">
        <v>328</v>
      </c>
      <c r="G21" s="62">
        <v>52</v>
      </c>
      <c r="H21" t="s">
        <v>322</v>
      </c>
      <c r="I21" t="s">
        <v>332</v>
      </c>
      <c r="J21" t="s">
        <v>330</v>
      </c>
      <c r="K21">
        <v>84246199</v>
      </c>
      <c r="L21" s="63" t="s">
        <v>324</v>
      </c>
      <c r="M21" t="s">
        <v>325</v>
      </c>
      <c r="N21" t="s">
        <v>321</v>
      </c>
      <c r="O21">
        <v>180289</v>
      </c>
    </row>
    <row r="22" spans="1:15" x14ac:dyDescent="0.35">
      <c r="A22" t="s">
        <v>408</v>
      </c>
      <c r="B22" t="s">
        <v>1</v>
      </c>
      <c r="C22" s="5"/>
    </row>
    <row r="23" spans="1:15" x14ac:dyDescent="0.35">
      <c r="A23" t="s">
        <v>409</v>
      </c>
      <c r="B23" t="s">
        <v>1</v>
      </c>
      <c r="C23" s="5"/>
      <c r="L23" s="63"/>
    </row>
    <row r="24" spans="1:15" x14ac:dyDescent="0.35">
      <c r="A24" t="s">
        <v>410</v>
      </c>
      <c r="B24" t="s">
        <v>1</v>
      </c>
      <c r="C24" s="5"/>
      <c r="L24" s="63"/>
    </row>
    <row r="25" spans="1:15" x14ac:dyDescent="0.35">
      <c r="A25" t="s">
        <v>411</v>
      </c>
      <c r="B25" t="s">
        <v>1</v>
      </c>
      <c r="C25" s="5"/>
    </row>
    <row r="26" spans="1:15" x14ac:dyDescent="0.35">
      <c r="A26" t="s">
        <v>412</v>
      </c>
      <c r="B26" t="s">
        <v>1</v>
      </c>
      <c r="C26" s="5"/>
    </row>
    <row r="27" spans="1:15" x14ac:dyDescent="0.35">
      <c r="A27" t="s">
        <v>413</v>
      </c>
      <c r="B27" t="s">
        <v>1</v>
      </c>
      <c r="C27" s="5"/>
    </row>
    <row r="28" spans="1:15" x14ac:dyDescent="0.35">
      <c r="A28" t="s">
        <v>414</v>
      </c>
      <c r="B28" t="s">
        <v>1</v>
      </c>
      <c r="C28" s="5"/>
    </row>
    <row r="29" spans="1:15" ht="29" x14ac:dyDescent="0.35">
      <c r="A29" t="s">
        <v>415</v>
      </c>
      <c r="B29" t="s">
        <v>2</v>
      </c>
      <c r="C29" s="5" t="s">
        <v>335</v>
      </c>
      <c r="F29" t="s">
        <v>333</v>
      </c>
      <c r="G29" s="62">
        <v>71</v>
      </c>
      <c r="H29" t="s">
        <v>322</v>
      </c>
      <c r="J29" t="s">
        <v>334</v>
      </c>
      <c r="K29">
        <v>84258381</v>
      </c>
      <c r="L29" s="63" t="s">
        <v>324</v>
      </c>
      <c r="M29" t="s">
        <v>325</v>
      </c>
      <c r="N29" t="s">
        <v>321</v>
      </c>
    </row>
    <row r="30" spans="1:15" x14ac:dyDescent="0.35">
      <c r="A30" t="s">
        <v>416</v>
      </c>
      <c r="B30" t="s">
        <v>1</v>
      </c>
      <c r="C30" s="5"/>
    </row>
    <row r="31" spans="1:15" x14ac:dyDescent="0.35">
      <c r="A31" t="s">
        <v>417</v>
      </c>
      <c r="B31" t="s">
        <v>1</v>
      </c>
      <c r="C31" s="5"/>
    </row>
    <row r="32" spans="1:15" x14ac:dyDescent="0.35">
      <c r="A32" t="s">
        <v>418</v>
      </c>
      <c r="B32" t="s">
        <v>1</v>
      </c>
      <c r="C32" s="5"/>
      <c r="E32" t="s">
        <v>336</v>
      </c>
      <c r="F32" t="s">
        <v>337</v>
      </c>
      <c r="G32" s="62">
        <v>76</v>
      </c>
      <c r="H32" t="s">
        <v>322</v>
      </c>
      <c r="I32" t="s">
        <v>339</v>
      </c>
      <c r="J32" t="s">
        <v>334</v>
      </c>
      <c r="K32">
        <v>84249949</v>
      </c>
      <c r="L32" s="63" t="s">
        <v>324</v>
      </c>
      <c r="M32" t="s">
        <v>338</v>
      </c>
      <c r="N32" t="s">
        <v>321</v>
      </c>
      <c r="O32">
        <v>180007</v>
      </c>
    </row>
    <row r="33" spans="1:3" x14ac:dyDescent="0.35">
      <c r="A33" t="s">
        <v>419</v>
      </c>
      <c r="B33" t="s">
        <v>1</v>
      </c>
      <c r="C33" s="5"/>
    </row>
    <row r="34" spans="1:3" x14ac:dyDescent="0.35">
      <c r="A34" t="s">
        <v>420</v>
      </c>
      <c r="B34" t="s">
        <v>1</v>
      </c>
      <c r="C34" s="5"/>
    </row>
    <row r="35" spans="1:3" x14ac:dyDescent="0.35">
      <c r="A35" t="s">
        <v>421</v>
      </c>
      <c r="B35" t="s">
        <v>1</v>
      </c>
      <c r="C35" s="5"/>
    </row>
    <row r="36" spans="1:3" x14ac:dyDescent="0.35">
      <c r="C36" s="5"/>
    </row>
    <row r="37" spans="1:3" x14ac:dyDescent="0.35">
      <c r="C37" s="5"/>
    </row>
  </sheetData>
  <conditionalFormatting sqref="A36:A37">
    <cfRule type="expression" dxfId="108" priority="2">
      <formula>B36="Fail"</formula>
    </cfRule>
    <cfRule type="expression" dxfId="107" priority="3">
      <formula>B36="Pending"</formula>
    </cfRule>
  </conditionalFormatting>
  <conditionalFormatting sqref="A36:A37">
    <cfRule type="expression" dxfId="106" priority="1">
      <formula>B36="Pass"</formula>
    </cfRule>
  </conditionalFormatting>
  <dataValidations count="1">
    <dataValidation type="list" allowBlank="1" showInputMessage="1" showErrorMessage="1" sqref="B2:B37" xr:uid="{00000000-0002-0000-0400-000000000000}">
      <formula1>#REF!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" operator="containsText" id="{B4AF1C41-344E-4C17-ADD9-E3F3364E115C}">
            <xm:f>NOT(ISERROR(SEARCH(#REF!,B2)))</xm:f>
            <xm:f>#REF!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20" operator="containsText" id="{5CD9B995-D4B1-4D43-9FE9-1EE8A15CB71C}">
            <xm:f>NOT(ISERROR(SEARCH(#REF!,B2)))</xm:f>
            <xm:f>#REF!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21" operator="containsText" id="{33656403-6DAF-400F-BF19-B68E52C0E2B7}">
            <xm:f>NOT(ISERROR(SEARCH(#REF!,B2)))</xm:f>
            <xm:f>#REF!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B2:B37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Overview!$C$9:$C$12</xm:f>
          </x14:formula1>
          <xm:sqref>D2:D37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35"/>
  <sheetViews>
    <sheetView workbookViewId="0">
      <selection activeCell="N5" sqref="N5:O5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customWidth="1"/>
  </cols>
  <sheetData>
    <row r="1" spans="1:15" x14ac:dyDescent="0.35">
      <c r="A1" s="1" t="s">
        <v>1</v>
      </c>
      <c r="B1">
        <f>COUNTIF(Table21011[Result],"Pass")</f>
        <v>0</v>
      </c>
    </row>
    <row r="2" spans="1:15" x14ac:dyDescent="0.35">
      <c r="A2" s="2" t="s">
        <v>2</v>
      </c>
      <c r="B2">
        <f>COUNTIF(Table21011[Result],"Fail")</f>
        <v>0</v>
      </c>
    </row>
    <row r="3" spans="1:15" x14ac:dyDescent="0.35">
      <c r="A3" s="3" t="s">
        <v>3</v>
      </c>
      <c r="B3">
        <f>COUNTIF(Table21011[Result],"Pending")</f>
        <v>20</v>
      </c>
    </row>
    <row r="4" spans="1:15" x14ac:dyDescent="0.35">
      <c r="A4" t="s">
        <v>4</v>
      </c>
      <c r="B4">
        <f>COUNTA(Table21011[Result])</f>
        <v>20</v>
      </c>
    </row>
    <row r="5" spans="1:15" x14ac:dyDescent="0.35">
      <c r="A5" s="4" t="s">
        <v>0</v>
      </c>
      <c r="B5" s="4" t="s">
        <v>5</v>
      </c>
      <c r="C5" s="4" t="s">
        <v>141</v>
      </c>
      <c r="D5" s="4" t="s">
        <v>251</v>
      </c>
      <c r="E5" s="61" t="s">
        <v>306</v>
      </c>
      <c r="F5" s="61" t="s">
        <v>307</v>
      </c>
      <c r="G5" s="61" t="s">
        <v>308</v>
      </c>
      <c r="H5" s="61" t="s">
        <v>309</v>
      </c>
      <c r="I5" s="61" t="s">
        <v>310</v>
      </c>
      <c r="J5" s="61" t="s">
        <v>311</v>
      </c>
      <c r="K5" s="61" t="s">
        <v>312</v>
      </c>
      <c r="L5" s="61" t="s">
        <v>313</v>
      </c>
      <c r="M5" s="61" t="s">
        <v>314</v>
      </c>
      <c r="N5" s="61" t="s">
        <v>315</v>
      </c>
      <c r="O5" s="61" t="s">
        <v>316</v>
      </c>
    </row>
    <row r="6" spans="1:15" x14ac:dyDescent="0.35">
      <c r="A6" t="s">
        <v>121</v>
      </c>
      <c r="B6" t="s">
        <v>3</v>
      </c>
      <c r="C6" s="5"/>
    </row>
    <row r="7" spans="1:15" x14ac:dyDescent="0.35">
      <c r="A7" t="s">
        <v>122</v>
      </c>
      <c r="B7" t="s">
        <v>3</v>
      </c>
      <c r="C7" s="5"/>
    </row>
    <row r="8" spans="1:15" x14ac:dyDescent="0.35">
      <c r="A8" t="s">
        <v>123</v>
      </c>
      <c r="B8" t="s">
        <v>3</v>
      </c>
      <c r="C8" s="5"/>
    </row>
    <row r="9" spans="1:15" x14ac:dyDescent="0.35">
      <c r="A9" t="s">
        <v>124</v>
      </c>
      <c r="B9" t="s">
        <v>3</v>
      </c>
      <c r="C9" s="5"/>
    </row>
    <row r="10" spans="1:15" x14ac:dyDescent="0.35">
      <c r="A10" t="s">
        <v>125</v>
      </c>
      <c r="B10" t="s">
        <v>3</v>
      </c>
      <c r="C10" s="5"/>
    </row>
    <row r="11" spans="1:15" x14ac:dyDescent="0.35">
      <c r="A11" t="s">
        <v>126</v>
      </c>
      <c r="B11" t="s">
        <v>3</v>
      </c>
      <c r="C11" s="5"/>
    </row>
    <row r="12" spans="1:15" x14ac:dyDescent="0.35">
      <c r="A12" t="s">
        <v>127</v>
      </c>
      <c r="B12" t="s">
        <v>3</v>
      </c>
      <c r="C12" s="5"/>
    </row>
    <row r="13" spans="1:15" x14ac:dyDescent="0.35">
      <c r="A13" t="s">
        <v>128</v>
      </c>
      <c r="B13" t="s">
        <v>3</v>
      </c>
      <c r="C13" s="5"/>
    </row>
    <row r="14" spans="1:15" x14ac:dyDescent="0.35">
      <c r="A14" t="s">
        <v>129</v>
      </c>
      <c r="B14" t="s">
        <v>3</v>
      </c>
      <c r="C14" s="5"/>
    </row>
    <row r="15" spans="1:15" x14ac:dyDescent="0.35">
      <c r="A15" t="s">
        <v>130</v>
      </c>
      <c r="B15" t="s">
        <v>3</v>
      </c>
      <c r="C15" s="5"/>
    </row>
    <row r="16" spans="1:15" x14ac:dyDescent="0.35">
      <c r="A16" t="s">
        <v>131</v>
      </c>
      <c r="B16" t="s">
        <v>3</v>
      </c>
      <c r="C16" s="5"/>
    </row>
    <row r="17" spans="1:3" x14ac:dyDescent="0.35">
      <c r="A17" t="s">
        <v>132</v>
      </c>
      <c r="B17" t="s">
        <v>3</v>
      </c>
      <c r="C17" s="5"/>
    </row>
    <row r="18" spans="1:3" x14ac:dyDescent="0.35">
      <c r="A18" t="s">
        <v>133</v>
      </c>
      <c r="B18" t="s">
        <v>3</v>
      </c>
      <c r="C18" s="5"/>
    </row>
    <row r="19" spans="1:3" x14ac:dyDescent="0.35">
      <c r="A19" t="s">
        <v>134</v>
      </c>
      <c r="B19" t="s">
        <v>3</v>
      </c>
      <c r="C19" s="5"/>
    </row>
    <row r="20" spans="1:3" x14ac:dyDescent="0.35">
      <c r="A20" t="s">
        <v>135</v>
      </c>
      <c r="B20" t="s">
        <v>3</v>
      </c>
      <c r="C20" s="5"/>
    </row>
    <row r="21" spans="1:3" x14ac:dyDescent="0.35">
      <c r="A21" t="s">
        <v>136</v>
      </c>
      <c r="B21" t="s">
        <v>3</v>
      </c>
      <c r="C21" s="5"/>
    </row>
    <row r="22" spans="1:3" x14ac:dyDescent="0.35">
      <c r="A22" t="s">
        <v>137</v>
      </c>
      <c r="B22" t="s">
        <v>3</v>
      </c>
      <c r="C22" s="5"/>
    </row>
    <row r="23" spans="1:3" x14ac:dyDescent="0.35">
      <c r="A23" t="s">
        <v>138</v>
      </c>
      <c r="B23" t="s">
        <v>3</v>
      </c>
      <c r="C23" s="5"/>
    </row>
    <row r="24" spans="1:3" x14ac:dyDescent="0.35">
      <c r="A24" t="s">
        <v>139</v>
      </c>
      <c r="B24" t="s">
        <v>3</v>
      </c>
      <c r="C24" s="5"/>
    </row>
    <row r="25" spans="1:3" x14ac:dyDescent="0.35">
      <c r="A25" t="s">
        <v>140</v>
      </c>
      <c r="B25" t="s">
        <v>3</v>
      </c>
      <c r="C25" s="5"/>
    </row>
    <row r="26" spans="1:3" x14ac:dyDescent="0.35">
      <c r="C26" s="5"/>
    </row>
    <row r="27" spans="1:3" x14ac:dyDescent="0.35">
      <c r="C27" s="5"/>
    </row>
    <row r="28" spans="1:3" x14ac:dyDescent="0.35">
      <c r="C28" s="5"/>
    </row>
    <row r="29" spans="1:3" x14ac:dyDescent="0.35">
      <c r="C29" s="5"/>
    </row>
    <row r="30" spans="1:3" x14ac:dyDescent="0.35">
      <c r="C30" s="5"/>
    </row>
    <row r="31" spans="1:3" x14ac:dyDescent="0.35">
      <c r="C31" s="5"/>
    </row>
    <row r="32" spans="1:3" x14ac:dyDescent="0.35">
      <c r="C32" s="5"/>
    </row>
    <row r="33" spans="3:3" x14ac:dyDescent="0.35">
      <c r="C33" s="5"/>
    </row>
    <row r="34" spans="3:3" x14ac:dyDescent="0.35">
      <c r="C34" s="5"/>
    </row>
    <row r="35" spans="3:3" x14ac:dyDescent="0.35">
      <c r="C35" s="5"/>
    </row>
  </sheetData>
  <conditionalFormatting sqref="A7:A23">
    <cfRule type="expression" dxfId="100" priority="14">
      <formula>B7="Fail"</formula>
    </cfRule>
    <cfRule type="expression" dxfId="99" priority="15">
      <formula>B7="Pending"</formula>
    </cfRule>
  </conditionalFormatting>
  <conditionalFormatting sqref="A7:A23">
    <cfRule type="expression" dxfId="98" priority="13">
      <formula>B7="Pass"</formula>
    </cfRule>
  </conditionalFormatting>
  <conditionalFormatting sqref="A6">
    <cfRule type="expression" dxfId="97" priority="11">
      <formula>B6="Fail"</formula>
    </cfRule>
    <cfRule type="expression" dxfId="96" priority="12">
      <formula>B6="Pending"</formula>
    </cfRule>
  </conditionalFormatting>
  <conditionalFormatting sqref="A6">
    <cfRule type="expression" dxfId="95" priority="10">
      <formula>B6="Pass"</formula>
    </cfRule>
  </conditionalFormatting>
  <conditionalFormatting sqref="A24">
    <cfRule type="expression" dxfId="94" priority="8">
      <formula>B24="Fail"</formula>
    </cfRule>
    <cfRule type="expression" dxfId="93" priority="9">
      <formula>B24="Pending"</formula>
    </cfRule>
  </conditionalFormatting>
  <conditionalFormatting sqref="A24">
    <cfRule type="expression" dxfId="92" priority="7">
      <formula>B24="Pass"</formula>
    </cfRule>
  </conditionalFormatting>
  <conditionalFormatting sqref="A25">
    <cfRule type="expression" dxfId="91" priority="5">
      <formula>B25="Fail"</formula>
    </cfRule>
    <cfRule type="expression" dxfId="90" priority="6">
      <formula>B25="Pending"</formula>
    </cfRule>
  </conditionalFormatting>
  <conditionalFormatting sqref="A25">
    <cfRule type="expression" dxfId="89" priority="4">
      <formula>B25="Pass"</formula>
    </cfRule>
  </conditionalFormatting>
  <conditionalFormatting sqref="A26:A35">
    <cfRule type="expression" dxfId="88" priority="2">
      <formula>B26="Fail"</formula>
    </cfRule>
    <cfRule type="expression" dxfId="87" priority="3">
      <formula>B26="Pending"</formula>
    </cfRule>
  </conditionalFormatting>
  <conditionalFormatting sqref="A26:A35">
    <cfRule type="expression" dxfId="86" priority="1">
      <formula>B26="Pass"</formula>
    </cfRule>
  </conditionalFormatting>
  <dataValidations count="1">
    <dataValidation type="list" allowBlank="1" showInputMessage="1" showErrorMessage="1" sqref="B6:B25" xr:uid="{00000000-0002-0000-05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ABAED45C-B614-4784-A279-586596C5FF96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802809A5-ADED-4DD0-9AE2-D913A8B493DA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28E07B7C-4E7B-4E45-B9FE-227595513EAD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1000000}">
          <x14:formula1>
            <xm:f>Overview!$C$9:$C$12</xm:f>
          </x14:formula1>
          <xm:sqref>D6:D25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O35"/>
  <sheetViews>
    <sheetView workbookViewId="0">
      <selection activeCell="N5" sqref="N5:O5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customWidth="1"/>
  </cols>
  <sheetData>
    <row r="1" spans="1:15" x14ac:dyDescent="0.35">
      <c r="A1" s="1" t="s">
        <v>1</v>
      </c>
      <c r="B1">
        <f>COUNTIF(Table2101118[Result],"Pass")</f>
        <v>0</v>
      </c>
    </row>
    <row r="2" spans="1:15" x14ac:dyDescent="0.35">
      <c r="A2" s="2" t="s">
        <v>2</v>
      </c>
      <c r="B2">
        <f>COUNTIF(Table2101118[Result],"Fail")</f>
        <v>0</v>
      </c>
    </row>
    <row r="3" spans="1:15" x14ac:dyDescent="0.35">
      <c r="A3" s="3" t="s">
        <v>3</v>
      </c>
      <c r="B3">
        <f>COUNTIF(Table2101118[Result],"Pending")</f>
        <v>20</v>
      </c>
    </row>
    <row r="4" spans="1:15" x14ac:dyDescent="0.35">
      <c r="A4" t="s">
        <v>4</v>
      </c>
      <c r="B4">
        <f>COUNTA(Table2101118[Result])</f>
        <v>20</v>
      </c>
    </row>
    <row r="5" spans="1:15" x14ac:dyDescent="0.35">
      <c r="A5" s="4" t="s">
        <v>0</v>
      </c>
      <c r="B5" s="4" t="s">
        <v>5</v>
      </c>
      <c r="C5" s="4" t="s">
        <v>141</v>
      </c>
      <c r="D5" s="4" t="s">
        <v>251</v>
      </c>
      <c r="E5" s="61" t="s">
        <v>306</v>
      </c>
      <c r="F5" s="61" t="s">
        <v>307</v>
      </c>
      <c r="G5" s="61" t="s">
        <v>308</v>
      </c>
      <c r="H5" s="61" t="s">
        <v>309</v>
      </c>
      <c r="I5" s="61" t="s">
        <v>310</v>
      </c>
      <c r="J5" s="61" t="s">
        <v>311</v>
      </c>
      <c r="K5" s="61" t="s">
        <v>312</v>
      </c>
      <c r="L5" s="61" t="s">
        <v>313</v>
      </c>
      <c r="M5" s="61" t="s">
        <v>314</v>
      </c>
      <c r="N5" s="61" t="s">
        <v>315</v>
      </c>
      <c r="O5" s="61" t="s">
        <v>316</v>
      </c>
    </row>
    <row r="6" spans="1:15" x14ac:dyDescent="0.35">
      <c r="A6" t="s">
        <v>255</v>
      </c>
      <c r="B6" t="s">
        <v>3</v>
      </c>
      <c r="C6" s="5"/>
    </row>
    <row r="7" spans="1:15" x14ac:dyDescent="0.35">
      <c r="A7" t="s">
        <v>256</v>
      </c>
      <c r="B7" t="s">
        <v>3</v>
      </c>
      <c r="C7" s="5"/>
    </row>
    <row r="8" spans="1:15" x14ac:dyDescent="0.35">
      <c r="A8" t="s">
        <v>257</v>
      </c>
      <c r="B8" t="s">
        <v>3</v>
      </c>
      <c r="C8" s="5"/>
    </row>
    <row r="9" spans="1:15" x14ac:dyDescent="0.35">
      <c r="A9" t="s">
        <v>258</v>
      </c>
      <c r="B9" t="s">
        <v>3</v>
      </c>
      <c r="C9" s="5"/>
    </row>
    <row r="10" spans="1:15" x14ac:dyDescent="0.35">
      <c r="A10" t="s">
        <v>259</v>
      </c>
      <c r="B10" t="s">
        <v>3</v>
      </c>
      <c r="C10" s="5"/>
    </row>
    <row r="11" spans="1:15" x14ac:dyDescent="0.35">
      <c r="A11" t="s">
        <v>260</v>
      </c>
      <c r="B11" t="s">
        <v>3</v>
      </c>
      <c r="C11" s="5"/>
    </row>
    <row r="12" spans="1:15" x14ac:dyDescent="0.35">
      <c r="A12" t="s">
        <v>261</v>
      </c>
      <c r="B12" t="s">
        <v>3</v>
      </c>
      <c r="C12" s="5"/>
    </row>
    <row r="13" spans="1:15" x14ac:dyDescent="0.35">
      <c r="A13" t="s">
        <v>262</v>
      </c>
      <c r="B13" t="s">
        <v>3</v>
      </c>
      <c r="C13" s="5"/>
    </row>
    <row r="14" spans="1:15" x14ac:dyDescent="0.35">
      <c r="A14" t="s">
        <v>263</v>
      </c>
      <c r="B14" t="s">
        <v>3</v>
      </c>
      <c r="C14" s="5"/>
    </row>
    <row r="15" spans="1:15" x14ac:dyDescent="0.35">
      <c r="A15" t="s">
        <v>264</v>
      </c>
      <c r="B15" t="s">
        <v>3</v>
      </c>
      <c r="C15" s="5"/>
    </row>
    <row r="16" spans="1:15" x14ac:dyDescent="0.35">
      <c r="A16" t="s">
        <v>265</v>
      </c>
      <c r="B16" t="s">
        <v>3</v>
      </c>
      <c r="C16" s="5"/>
    </row>
    <row r="17" spans="1:3" x14ac:dyDescent="0.35">
      <c r="A17" t="s">
        <v>266</v>
      </c>
      <c r="B17" t="s">
        <v>3</v>
      </c>
      <c r="C17" s="5"/>
    </row>
    <row r="18" spans="1:3" x14ac:dyDescent="0.35">
      <c r="A18" t="s">
        <v>267</v>
      </c>
      <c r="B18" t="s">
        <v>3</v>
      </c>
      <c r="C18" s="5"/>
    </row>
    <row r="19" spans="1:3" x14ac:dyDescent="0.35">
      <c r="A19" t="s">
        <v>268</v>
      </c>
      <c r="B19" t="s">
        <v>3</v>
      </c>
      <c r="C19" s="5"/>
    </row>
    <row r="20" spans="1:3" x14ac:dyDescent="0.35">
      <c r="A20" t="s">
        <v>269</v>
      </c>
      <c r="B20" t="s">
        <v>3</v>
      </c>
      <c r="C20" s="5"/>
    </row>
    <row r="21" spans="1:3" x14ac:dyDescent="0.35">
      <c r="A21" t="s">
        <v>270</v>
      </c>
      <c r="B21" t="s">
        <v>3</v>
      </c>
      <c r="C21" s="5"/>
    </row>
    <row r="22" spans="1:3" x14ac:dyDescent="0.35">
      <c r="A22" t="s">
        <v>271</v>
      </c>
      <c r="B22" t="s">
        <v>3</v>
      </c>
      <c r="C22" s="5"/>
    </row>
    <row r="23" spans="1:3" x14ac:dyDescent="0.35">
      <c r="A23" t="s">
        <v>272</v>
      </c>
      <c r="B23" t="s">
        <v>3</v>
      </c>
      <c r="C23" s="5"/>
    </row>
    <row r="24" spans="1:3" x14ac:dyDescent="0.35">
      <c r="A24" t="s">
        <v>273</v>
      </c>
      <c r="B24" t="s">
        <v>3</v>
      </c>
      <c r="C24" s="5"/>
    </row>
    <row r="25" spans="1:3" x14ac:dyDescent="0.35">
      <c r="A25" t="s">
        <v>274</v>
      </c>
      <c r="B25" t="s">
        <v>3</v>
      </c>
      <c r="C25" s="5"/>
    </row>
    <row r="26" spans="1:3" x14ac:dyDescent="0.35">
      <c r="C26" s="5"/>
    </row>
    <row r="27" spans="1:3" x14ac:dyDescent="0.35">
      <c r="C27" s="5"/>
    </row>
    <row r="28" spans="1:3" x14ac:dyDescent="0.35">
      <c r="C28" s="5"/>
    </row>
    <row r="29" spans="1:3" x14ac:dyDescent="0.35">
      <c r="C29" s="5"/>
    </row>
    <row r="30" spans="1:3" x14ac:dyDescent="0.35">
      <c r="C30" s="5"/>
    </row>
    <row r="31" spans="1:3" x14ac:dyDescent="0.35">
      <c r="C31" s="5"/>
    </row>
    <row r="32" spans="1:3" x14ac:dyDescent="0.35">
      <c r="C32" s="5"/>
    </row>
    <row r="33" spans="3:3" x14ac:dyDescent="0.35">
      <c r="C33" s="5"/>
    </row>
    <row r="34" spans="3:3" x14ac:dyDescent="0.35">
      <c r="C34" s="5"/>
    </row>
    <row r="35" spans="3:3" x14ac:dyDescent="0.35">
      <c r="C35" s="5"/>
    </row>
  </sheetData>
  <conditionalFormatting sqref="A7:A23">
    <cfRule type="expression" dxfId="80" priority="14">
      <formula>B7="Fail"</formula>
    </cfRule>
    <cfRule type="expression" dxfId="79" priority="15">
      <formula>B7="Pending"</formula>
    </cfRule>
  </conditionalFormatting>
  <conditionalFormatting sqref="A7:A23">
    <cfRule type="expression" dxfId="78" priority="13">
      <formula>B7="Pass"</formula>
    </cfRule>
  </conditionalFormatting>
  <conditionalFormatting sqref="A6">
    <cfRule type="expression" dxfId="77" priority="11">
      <formula>B6="Fail"</formula>
    </cfRule>
    <cfRule type="expression" dxfId="76" priority="12">
      <formula>B6="Pending"</formula>
    </cfRule>
  </conditionalFormatting>
  <conditionalFormatting sqref="A6">
    <cfRule type="expression" dxfId="75" priority="10">
      <formula>B6="Pass"</formula>
    </cfRule>
  </conditionalFormatting>
  <conditionalFormatting sqref="A24">
    <cfRule type="expression" dxfId="74" priority="8">
      <formula>B24="Fail"</formula>
    </cfRule>
    <cfRule type="expression" dxfId="73" priority="9">
      <formula>B24="Pending"</formula>
    </cfRule>
  </conditionalFormatting>
  <conditionalFormatting sqref="A24">
    <cfRule type="expression" dxfId="72" priority="7">
      <formula>B24="Pass"</formula>
    </cfRule>
  </conditionalFormatting>
  <conditionalFormatting sqref="A25">
    <cfRule type="expression" dxfId="71" priority="5">
      <formula>B25="Fail"</formula>
    </cfRule>
    <cfRule type="expression" dxfId="70" priority="6">
      <formula>B25="Pending"</formula>
    </cfRule>
  </conditionalFormatting>
  <conditionalFormatting sqref="A25">
    <cfRule type="expression" dxfId="69" priority="4">
      <formula>B25="Pass"</formula>
    </cfRule>
  </conditionalFormatting>
  <conditionalFormatting sqref="A26:A35">
    <cfRule type="expression" dxfId="68" priority="2">
      <formula>B26="Fail"</formula>
    </cfRule>
    <cfRule type="expression" dxfId="67" priority="3">
      <formula>B26="Pending"</formula>
    </cfRule>
  </conditionalFormatting>
  <conditionalFormatting sqref="A26:A35">
    <cfRule type="expression" dxfId="66" priority="1">
      <formula>B26="Pass"</formula>
    </cfRule>
  </conditionalFormatting>
  <dataValidations count="1">
    <dataValidation type="list" allowBlank="1" showInputMessage="1" showErrorMessage="1" sqref="B6:B25" xr:uid="{00000000-0002-0000-06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C6B7B3F4-EA9F-415A-9CC6-19DAAEEBE524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6315F507-B54C-48E4-8203-25AA786D9B09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18" operator="containsText" id="{AD30FB7F-A1E1-4CE9-80C6-ECCE8AB5813C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Overview!$C$9:$C$12</xm:f>
          </x14:formula1>
          <xm:sqref>D6:D25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O18"/>
  <sheetViews>
    <sheetView workbookViewId="0">
      <selection activeCell="B2" sqref="B2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15" x14ac:dyDescent="0.35">
      <c r="A1" s="4" t="s">
        <v>0</v>
      </c>
      <c r="B1" s="4" t="s">
        <v>5</v>
      </c>
      <c r="C1" s="6" t="s">
        <v>141</v>
      </c>
      <c r="D1" s="4" t="s">
        <v>251</v>
      </c>
      <c r="E1" s="61" t="s">
        <v>306</v>
      </c>
      <c r="F1" s="61" t="s">
        <v>307</v>
      </c>
      <c r="G1" s="61" t="s">
        <v>308</v>
      </c>
      <c r="H1" s="61" t="s">
        <v>309</v>
      </c>
      <c r="I1" s="61" t="s">
        <v>310</v>
      </c>
      <c r="J1" s="61" t="s">
        <v>311</v>
      </c>
      <c r="K1" s="61" t="s">
        <v>312</v>
      </c>
      <c r="L1" s="61" t="s">
        <v>313</v>
      </c>
      <c r="M1" s="61" t="s">
        <v>314</v>
      </c>
      <c r="N1" s="61" t="s">
        <v>315</v>
      </c>
      <c r="O1" s="61" t="s">
        <v>316</v>
      </c>
    </row>
    <row r="2" spans="1:15" ht="15" thickBot="1" x14ac:dyDescent="0.4">
      <c r="A2" s="64" t="s">
        <v>340</v>
      </c>
      <c r="B2" s="65" t="s">
        <v>341</v>
      </c>
      <c r="C2" s="65" t="s">
        <v>342</v>
      </c>
    </row>
    <row r="3" spans="1:15" ht="15" thickBot="1" x14ac:dyDescent="0.4">
      <c r="A3" s="64" t="s">
        <v>343</v>
      </c>
      <c r="B3" s="65" t="s">
        <v>344</v>
      </c>
      <c r="C3" s="65" t="s">
        <v>345</v>
      </c>
    </row>
    <row r="4" spans="1:15" ht="15" thickBot="1" x14ac:dyDescent="0.4">
      <c r="A4" s="64" t="s">
        <v>346</v>
      </c>
      <c r="B4" s="65" t="s">
        <v>341</v>
      </c>
      <c r="C4" s="65" t="s">
        <v>342</v>
      </c>
    </row>
    <row r="5" spans="1:15" ht="29.5" thickBot="1" x14ac:dyDescent="0.4">
      <c r="A5" s="64" t="s">
        <v>347</v>
      </c>
      <c r="B5" s="65" t="s">
        <v>341</v>
      </c>
      <c r="C5" s="66" t="s">
        <v>348</v>
      </c>
    </row>
    <row r="6" spans="1:15" ht="15" thickBot="1" x14ac:dyDescent="0.4">
      <c r="A6" s="64" t="s">
        <v>349</v>
      </c>
      <c r="B6" s="65" t="s">
        <v>344</v>
      </c>
      <c r="C6" s="65" t="s">
        <v>345</v>
      </c>
    </row>
    <row r="7" spans="1:15" ht="15" thickBot="1" x14ac:dyDescent="0.4">
      <c r="A7" s="64" t="s">
        <v>350</v>
      </c>
      <c r="B7" s="65" t="s">
        <v>341</v>
      </c>
      <c r="C7" s="65" t="s">
        <v>342</v>
      </c>
    </row>
    <row r="8" spans="1:15" ht="15" thickBot="1" x14ac:dyDescent="0.4">
      <c r="A8" s="64" t="s">
        <v>351</v>
      </c>
      <c r="B8" s="65" t="s">
        <v>344</v>
      </c>
      <c r="C8" s="65" t="s">
        <v>352</v>
      </c>
    </row>
    <row r="9" spans="1:15" ht="29" x14ac:dyDescent="0.35">
      <c r="A9" s="74" t="s">
        <v>353</v>
      </c>
      <c r="B9" s="67" t="s">
        <v>354</v>
      </c>
      <c r="C9" s="67" t="s">
        <v>355</v>
      </c>
    </row>
    <row r="10" spans="1:15" ht="44" thickBot="1" x14ac:dyDescent="0.4">
      <c r="A10" s="75"/>
      <c r="B10" s="66" t="s">
        <v>341</v>
      </c>
      <c r="C10" s="66" t="s">
        <v>356</v>
      </c>
    </row>
    <row r="12" spans="1:15" x14ac:dyDescent="0.35">
      <c r="B12" s="68" t="s">
        <v>357</v>
      </c>
    </row>
    <row r="13" spans="1:15" x14ac:dyDescent="0.35">
      <c r="B13" s="69" t="s">
        <v>358</v>
      </c>
    </row>
    <row r="14" spans="1:15" x14ac:dyDescent="0.35">
      <c r="B14" s="69" t="s">
        <v>359</v>
      </c>
    </row>
    <row r="15" spans="1:15" x14ac:dyDescent="0.35">
      <c r="B15" s="69" t="s">
        <v>363</v>
      </c>
    </row>
    <row r="16" spans="1:15" x14ac:dyDescent="0.35">
      <c r="B16" s="69" t="s">
        <v>360</v>
      </c>
    </row>
    <row r="17" spans="2:2" x14ac:dyDescent="0.35">
      <c r="B17" s="69" t="s">
        <v>361</v>
      </c>
    </row>
    <row r="18" spans="2:2" x14ac:dyDescent="0.35">
      <c r="B18" s="69" t="s">
        <v>362</v>
      </c>
    </row>
  </sheetData>
  <mergeCells count="1">
    <mergeCell ref="A9:A10"/>
  </mergeCell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Overview!$C$9:$C$12</xm:f>
          </x14:formula1>
          <xm:sqref>D2:D10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B25"/>
  <sheetViews>
    <sheetView workbookViewId="0">
      <selection activeCell="H12" sqref="H12"/>
    </sheetView>
  </sheetViews>
  <sheetFormatPr defaultRowHeight="14.5" x14ac:dyDescent="0.35"/>
  <cols>
    <col min="2" max="2" width="72.36328125" style="5" customWidth="1"/>
  </cols>
  <sheetData>
    <row r="2" spans="1:2" ht="18.5" x14ac:dyDescent="0.45">
      <c r="B2" s="50" t="s">
        <v>279</v>
      </c>
    </row>
    <row r="4" spans="1:2" x14ac:dyDescent="0.35">
      <c r="B4" s="5" t="s">
        <v>282</v>
      </c>
    </row>
    <row r="6" spans="1:2" x14ac:dyDescent="0.35">
      <c r="B6" s="47" t="s">
        <v>283</v>
      </c>
    </row>
    <row r="7" spans="1:2" x14ac:dyDescent="0.35">
      <c r="B7" s="49" t="s">
        <v>302</v>
      </c>
    </row>
    <row r="8" spans="1:2" x14ac:dyDescent="0.35">
      <c r="B8" s="49" t="s">
        <v>288</v>
      </c>
    </row>
    <row r="10" spans="1:2" x14ac:dyDescent="0.35">
      <c r="B10" s="47" t="s">
        <v>290</v>
      </c>
    </row>
    <row r="11" spans="1:2" ht="29" x14ac:dyDescent="0.35">
      <c r="A11" s="48" t="s">
        <v>287</v>
      </c>
      <c r="B11" s="49" t="s">
        <v>293</v>
      </c>
    </row>
    <row r="12" spans="1:2" ht="43.5" x14ac:dyDescent="0.35">
      <c r="A12" s="48" t="s">
        <v>285</v>
      </c>
      <c r="B12" s="49" t="s">
        <v>286</v>
      </c>
    </row>
    <row r="13" spans="1:2" ht="29" x14ac:dyDescent="0.35">
      <c r="A13" s="48" t="s">
        <v>284</v>
      </c>
      <c r="B13" s="49" t="s">
        <v>292</v>
      </c>
    </row>
    <row r="14" spans="1:2" x14ac:dyDescent="0.35">
      <c r="A14" s="48" t="s">
        <v>289</v>
      </c>
      <c r="B14" s="49" t="s">
        <v>294</v>
      </c>
    </row>
    <row r="16" spans="1:2" x14ac:dyDescent="0.35">
      <c r="B16" s="47" t="s">
        <v>291</v>
      </c>
    </row>
    <row r="17" spans="1:2" x14ac:dyDescent="0.35">
      <c r="B17" s="49" t="s">
        <v>295</v>
      </c>
    </row>
    <row r="19" spans="1:2" x14ac:dyDescent="0.35">
      <c r="B19" s="47" t="s">
        <v>296</v>
      </c>
    </row>
    <row r="20" spans="1:2" x14ac:dyDescent="0.35">
      <c r="A20" t="s">
        <v>297</v>
      </c>
      <c r="B20" s="49" t="s">
        <v>298</v>
      </c>
    </row>
    <row r="21" spans="1:2" ht="29" x14ac:dyDescent="0.35">
      <c r="B21" s="49" t="s">
        <v>301</v>
      </c>
    </row>
    <row r="22" spans="1:2" ht="43.5" x14ac:dyDescent="0.35">
      <c r="B22" s="49" t="s">
        <v>300</v>
      </c>
    </row>
    <row r="23" spans="1:2" ht="100.75" customHeight="1" x14ac:dyDescent="0.35">
      <c r="B23" s="49"/>
    </row>
    <row r="24" spans="1:2" ht="29" x14ac:dyDescent="0.35">
      <c r="B24" s="49" t="s">
        <v>299</v>
      </c>
    </row>
    <row r="25" spans="1:2" ht="148.25" customHeight="1" x14ac:dyDescent="0.35">
      <c r="B25" s="49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O46"/>
  <sheetViews>
    <sheetView workbookViewId="0">
      <selection activeCell="N5" sqref="N5:O5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15" x14ac:dyDescent="0.35">
      <c r="A1" s="1" t="s">
        <v>1</v>
      </c>
      <c r="B1">
        <f>COUNTIF(Table32[Result],"Pass")</f>
        <v>0</v>
      </c>
    </row>
    <row r="2" spans="1:15" x14ac:dyDescent="0.35">
      <c r="A2" s="2" t="s">
        <v>2</v>
      </c>
      <c r="B2">
        <f>COUNTIF(Table32[Result],"Fail")</f>
        <v>0</v>
      </c>
    </row>
    <row r="3" spans="1:15" x14ac:dyDescent="0.35">
      <c r="A3" s="3" t="s">
        <v>3</v>
      </c>
      <c r="B3">
        <f>COUNTIF(Table32[Result],"Pending")</f>
        <v>41</v>
      </c>
    </row>
    <row r="4" spans="1:15" x14ac:dyDescent="0.35">
      <c r="A4" t="s">
        <v>4</v>
      </c>
      <c r="B4">
        <f>COUNTA(Table32[Result])</f>
        <v>41</v>
      </c>
    </row>
    <row r="5" spans="1:15" x14ac:dyDescent="0.35">
      <c r="A5" s="4" t="s">
        <v>0</v>
      </c>
      <c r="B5" s="4" t="s">
        <v>5</v>
      </c>
      <c r="C5" s="6" t="s">
        <v>141</v>
      </c>
      <c r="D5" s="4" t="s">
        <v>251</v>
      </c>
      <c r="E5" s="61" t="s">
        <v>306</v>
      </c>
      <c r="F5" s="61" t="s">
        <v>307</v>
      </c>
      <c r="G5" s="61" t="s">
        <v>308</v>
      </c>
      <c r="H5" s="61" t="s">
        <v>309</v>
      </c>
      <c r="I5" s="61" t="s">
        <v>310</v>
      </c>
      <c r="J5" s="61" t="s">
        <v>311</v>
      </c>
      <c r="K5" s="61" t="s">
        <v>312</v>
      </c>
      <c r="L5" s="61" t="s">
        <v>313</v>
      </c>
      <c r="M5" s="61" t="s">
        <v>314</v>
      </c>
      <c r="N5" s="61" t="s">
        <v>315</v>
      </c>
      <c r="O5" s="61" t="s">
        <v>316</v>
      </c>
    </row>
    <row r="6" spans="1:15" x14ac:dyDescent="0.35">
      <c r="A6" t="s">
        <v>142</v>
      </c>
      <c r="B6" t="s">
        <v>3</v>
      </c>
    </row>
    <row r="7" spans="1:15" x14ac:dyDescent="0.35">
      <c r="A7" t="s">
        <v>143</v>
      </c>
      <c r="B7" t="s">
        <v>3</v>
      </c>
    </row>
    <row r="8" spans="1:15" x14ac:dyDescent="0.35">
      <c r="A8" t="s">
        <v>144</v>
      </c>
      <c r="B8" t="s">
        <v>3</v>
      </c>
    </row>
    <row r="9" spans="1:15" x14ac:dyDescent="0.35">
      <c r="A9" t="s">
        <v>145</v>
      </c>
      <c r="B9" t="s">
        <v>3</v>
      </c>
    </row>
    <row r="10" spans="1:15" x14ac:dyDescent="0.35">
      <c r="A10" t="s">
        <v>146</v>
      </c>
      <c r="B10" t="s">
        <v>3</v>
      </c>
    </row>
    <row r="11" spans="1:15" x14ac:dyDescent="0.35">
      <c r="A11" t="s">
        <v>147</v>
      </c>
      <c r="B11" t="s">
        <v>3</v>
      </c>
    </row>
    <row r="12" spans="1:15" x14ac:dyDescent="0.35">
      <c r="A12" t="s">
        <v>148</v>
      </c>
      <c r="B12" t="s">
        <v>3</v>
      </c>
    </row>
    <row r="13" spans="1:15" x14ac:dyDescent="0.35">
      <c r="A13" t="s">
        <v>149</v>
      </c>
      <c r="B13" t="s">
        <v>3</v>
      </c>
    </row>
    <row r="14" spans="1:15" x14ac:dyDescent="0.35">
      <c r="A14" t="s">
        <v>150</v>
      </c>
      <c r="B14" t="s">
        <v>3</v>
      </c>
    </row>
    <row r="15" spans="1:15" x14ac:dyDescent="0.35">
      <c r="A15" t="s">
        <v>151</v>
      </c>
      <c r="B15" t="s">
        <v>3</v>
      </c>
    </row>
    <row r="16" spans="1:15" x14ac:dyDescent="0.35">
      <c r="A16" t="s">
        <v>152</v>
      </c>
      <c r="B16" t="s">
        <v>3</v>
      </c>
    </row>
    <row r="17" spans="1:2" x14ac:dyDescent="0.35">
      <c r="A17" t="s">
        <v>153</v>
      </c>
      <c r="B17" t="s">
        <v>3</v>
      </c>
    </row>
    <row r="18" spans="1:2" x14ac:dyDescent="0.35">
      <c r="A18" t="s">
        <v>154</v>
      </c>
      <c r="B18" t="s">
        <v>3</v>
      </c>
    </row>
    <row r="19" spans="1:2" x14ac:dyDescent="0.35">
      <c r="A19" t="s">
        <v>155</v>
      </c>
      <c r="B19" t="s">
        <v>3</v>
      </c>
    </row>
    <row r="20" spans="1:2" x14ac:dyDescent="0.35">
      <c r="A20" t="s">
        <v>156</v>
      </c>
      <c r="B20" t="s">
        <v>3</v>
      </c>
    </row>
    <row r="21" spans="1:2" x14ac:dyDescent="0.35">
      <c r="A21" t="s">
        <v>157</v>
      </c>
      <c r="B21" t="s">
        <v>3</v>
      </c>
    </row>
    <row r="22" spans="1:2" x14ac:dyDescent="0.35">
      <c r="A22" t="s">
        <v>158</v>
      </c>
      <c r="B22" t="s">
        <v>3</v>
      </c>
    </row>
    <row r="23" spans="1:2" x14ac:dyDescent="0.35">
      <c r="A23" t="s">
        <v>159</v>
      </c>
      <c r="B23" t="s">
        <v>3</v>
      </c>
    </row>
    <row r="24" spans="1:2" x14ac:dyDescent="0.35">
      <c r="A24" t="s">
        <v>160</v>
      </c>
      <c r="B24" t="s">
        <v>3</v>
      </c>
    </row>
    <row r="25" spans="1:2" x14ac:dyDescent="0.35">
      <c r="A25" t="s">
        <v>161</v>
      </c>
      <c r="B25" t="s">
        <v>3</v>
      </c>
    </row>
    <row r="26" spans="1:2" x14ac:dyDescent="0.35">
      <c r="A26" t="s">
        <v>162</v>
      </c>
      <c r="B26" t="s">
        <v>3</v>
      </c>
    </row>
    <row r="27" spans="1:2" x14ac:dyDescent="0.35">
      <c r="A27" t="s">
        <v>163</v>
      </c>
      <c r="B27" t="s">
        <v>3</v>
      </c>
    </row>
    <row r="28" spans="1:2" x14ac:dyDescent="0.35">
      <c r="A28" t="s">
        <v>164</v>
      </c>
      <c r="B28" t="s">
        <v>3</v>
      </c>
    </row>
    <row r="29" spans="1:2" x14ac:dyDescent="0.35">
      <c r="A29" t="s">
        <v>165</v>
      </c>
      <c r="B29" t="s">
        <v>3</v>
      </c>
    </row>
    <row r="30" spans="1:2" x14ac:dyDescent="0.35">
      <c r="A30" t="s">
        <v>166</v>
      </c>
      <c r="B30" t="s">
        <v>3</v>
      </c>
    </row>
    <row r="31" spans="1:2" x14ac:dyDescent="0.35">
      <c r="A31" t="s">
        <v>167</v>
      </c>
      <c r="B31" t="s">
        <v>3</v>
      </c>
    </row>
    <row r="32" spans="1:2" x14ac:dyDescent="0.35">
      <c r="A32" t="s">
        <v>168</v>
      </c>
      <c r="B32" t="s">
        <v>3</v>
      </c>
    </row>
    <row r="33" spans="1:2" x14ac:dyDescent="0.35">
      <c r="A33" t="s">
        <v>169</v>
      </c>
      <c r="B33" t="s">
        <v>3</v>
      </c>
    </row>
    <row r="34" spans="1:2" x14ac:dyDescent="0.35">
      <c r="A34" t="s">
        <v>6</v>
      </c>
      <c r="B34" t="s">
        <v>3</v>
      </c>
    </row>
    <row r="35" spans="1:2" x14ac:dyDescent="0.35">
      <c r="A35" t="s">
        <v>7</v>
      </c>
      <c r="B35" t="s">
        <v>3</v>
      </c>
    </row>
    <row r="36" spans="1:2" x14ac:dyDescent="0.35">
      <c r="A36" t="s">
        <v>8</v>
      </c>
      <c r="B36" t="s">
        <v>3</v>
      </c>
    </row>
    <row r="37" spans="1:2" x14ac:dyDescent="0.35">
      <c r="A37" t="s">
        <v>9</v>
      </c>
      <c r="B37" t="s">
        <v>3</v>
      </c>
    </row>
    <row r="38" spans="1:2" x14ac:dyDescent="0.35">
      <c r="A38" t="s">
        <v>10</v>
      </c>
      <c r="B38" t="s">
        <v>3</v>
      </c>
    </row>
    <row r="39" spans="1:2" x14ac:dyDescent="0.35">
      <c r="A39" t="s">
        <v>11</v>
      </c>
      <c r="B39" t="s">
        <v>3</v>
      </c>
    </row>
    <row r="40" spans="1:2" x14ac:dyDescent="0.35">
      <c r="A40" t="s">
        <v>12</v>
      </c>
      <c r="B40" t="s">
        <v>3</v>
      </c>
    </row>
    <row r="41" spans="1:2" x14ac:dyDescent="0.35">
      <c r="A41" t="s">
        <v>13</v>
      </c>
      <c r="B41" t="s">
        <v>3</v>
      </c>
    </row>
    <row r="42" spans="1:2" x14ac:dyDescent="0.35">
      <c r="A42" t="s">
        <v>50</v>
      </c>
      <c r="B42" t="s">
        <v>3</v>
      </c>
    </row>
    <row r="43" spans="1:2" x14ac:dyDescent="0.35">
      <c r="A43" t="s">
        <v>51</v>
      </c>
      <c r="B43" t="s">
        <v>3</v>
      </c>
    </row>
    <row r="44" spans="1:2" x14ac:dyDescent="0.35">
      <c r="A44" t="s">
        <v>52</v>
      </c>
      <c r="B44" t="s">
        <v>3</v>
      </c>
    </row>
    <row r="45" spans="1:2" x14ac:dyDescent="0.35">
      <c r="A45" t="s">
        <v>53</v>
      </c>
      <c r="B45" t="s">
        <v>3</v>
      </c>
    </row>
    <row r="46" spans="1:2" x14ac:dyDescent="0.35">
      <c r="A46" t="s">
        <v>54</v>
      </c>
      <c r="B46" t="s">
        <v>3</v>
      </c>
    </row>
  </sheetData>
  <conditionalFormatting sqref="A6:A46">
    <cfRule type="expression" dxfId="60" priority="2">
      <formula>B6="Fail"</formula>
    </cfRule>
    <cfRule type="expression" dxfId="59" priority="3">
      <formula>B6="Pending"</formula>
    </cfRule>
  </conditionalFormatting>
  <conditionalFormatting sqref="A6:A46">
    <cfRule type="expression" dxfId="58" priority="1">
      <formula>B6="Pass"</formula>
    </cfRule>
  </conditionalFormatting>
  <dataValidations count="1">
    <dataValidation type="list" allowBlank="1" showInputMessage="1" showErrorMessage="1" sqref="B6:B46" xr:uid="{00000000-0002-0000-09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EFD6480-3F9F-4BB6-916E-E2BFA7B8099A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DFBE8435-C8DF-4E73-9F93-56B86FB326EE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75EBFF7E-C10D-4991-A275-648F411E6E63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Overview!$C$9:$C$12</xm:f>
          </x14:formula1>
          <xm:sqref>D6:D46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O21"/>
  <sheetViews>
    <sheetView workbookViewId="0">
      <selection activeCell="B9" sqref="B9"/>
    </sheetView>
  </sheetViews>
  <sheetFormatPr defaultRowHeight="14.5" x14ac:dyDescent="0.35"/>
  <cols>
    <col min="1" max="1" width="10.6328125" customWidth="1"/>
    <col min="3" max="3" width="58.453125" style="5" customWidth="1"/>
    <col min="4" max="4" width="12.90625" customWidth="1"/>
  </cols>
  <sheetData>
    <row r="1" spans="1:15" x14ac:dyDescent="0.35">
      <c r="A1" s="1" t="s">
        <v>1</v>
      </c>
      <c r="B1">
        <f>COUNTIF(Table3219[Result],"Pass")</f>
        <v>0</v>
      </c>
    </row>
    <row r="2" spans="1:15" x14ac:dyDescent="0.35">
      <c r="A2" s="2" t="s">
        <v>2</v>
      </c>
      <c r="B2">
        <f>COUNTIF(Table3219[Result],"Fail")</f>
        <v>0</v>
      </c>
    </row>
    <row r="3" spans="1:15" x14ac:dyDescent="0.35">
      <c r="A3" s="3" t="s">
        <v>3</v>
      </c>
      <c r="B3">
        <f>COUNTIF(Table3219[Result],"Pending")</f>
        <v>16</v>
      </c>
    </row>
    <row r="4" spans="1:15" x14ac:dyDescent="0.35">
      <c r="A4" t="s">
        <v>4</v>
      </c>
      <c r="B4">
        <f>COUNTA(Table3219[Result])</f>
        <v>16</v>
      </c>
    </row>
    <row r="5" spans="1:15" x14ac:dyDescent="0.35">
      <c r="A5" s="4" t="s">
        <v>0</v>
      </c>
      <c r="B5" s="4" t="s">
        <v>5</v>
      </c>
      <c r="C5" s="6" t="s">
        <v>141</v>
      </c>
      <c r="D5" s="4" t="s">
        <v>251</v>
      </c>
      <c r="E5" s="61" t="s">
        <v>306</v>
      </c>
      <c r="F5" s="61" t="s">
        <v>307</v>
      </c>
      <c r="G5" s="61" t="s">
        <v>308</v>
      </c>
      <c r="H5" s="61" t="s">
        <v>309</v>
      </c>
      <c r="I5" s="61" t="s">
        <v>310</v>
      </c>
      <c r="J5" s="61" t="s">
        <v>311</v>
      </c>
      <c r="K5" s="61" t="s">
        <v>312</v>
      </c>
      <c r="L5" s="61" t="s">
        <v>313</v>
      </c>
      <c r="M5" s="61" t="s">
        <v>314</v>
      </c>
      <c r="N5" s="61" t="s">
        <v>315</v>
      </c>
      <c r="O5" s="61" t="s">
        <v>316</v>
      </c>
    </row>
    <row r="6" spans="1:15" x14ac:dyDescent="0.35">
      <c r="B6" t="s">
        <v>3</v>
      </c>
    </row>
    <row r="7" spans="1:15" x14ac:dyDescent="0.35">
      <c r="B7" t="s">
        <v>3</v>
      </c>
    </row>
    <row r="8" spans="1:15" x14ac:dyDescent="0.35">
      <c r="B8" t="s">
        <v>3</v>
      </c>
    </row>
    <row r="9" spans="1:15" x14ac:dyDescent="0.35">
      <c r="B9" t="s">
        <v>3</v>
      </c>
    </row>
    <row r="10" spans="1:15" x14ac:dyDescent="0.35">
      <c r="B10" t="s">
        <v>3</v>
      </c>
    </row>
    <row r="11" spans="1:15" x14ac:dyDescent="0.35">
      <c r="B11" t="s">
        <v>3</v>
      </c>
    </row>
    <row r="12" spans="1:15" x14ac:dyDescent="0.35">
      <c r="B12" t="s">
        <v>3</v>
      </c>
    </row>
    <row r="13" spans="1:15" x14ac:dyDescent="0.35">
      <c r="B13" t="s">
        <v>3</v>
      </c>
    </row>
    <row r="14" spans="1:15" x14ac:dyDescent="0.35">
      <c r="B14" t="s">
        <v>3</v>
      </c>
    </row>
    <row r="15" spans="1:15" x14ac:dyDescent="0.35">
      <c r="B15" t="s">
        <v>3</v>
      </c>
    </row>
    <row r="16" spans="1:15" x14ac:dyDescent="0.35">
      <c r="B16" t="s">
        <v>3</v>
      </c>
    </row>
    <row r="17" spans="2:2" x14ac:dyDescent="0.35">
      <c r="B17" t="s">
        <v>3</v>
      </c>
    </row>
    <row r="18" spans="2:2" x14ac:dyDescent="0.35">
      <c r="B18" t="s">
        <v>3</v>
      </c>
    </row>
    <row r="19" spans="2:2" x14ac:dyDescent="0.35">
      <c r="B19" t="s">
        <v>3</v>
      </c>
    </row>
    <row r="20" spans="2:2" x14ac:dyDescent="0.35">
      <c r="B20" t="s">
        <v>3</v>
      </c>
    </row>
    <row r="21" spans="2:2" x14ac:dyDescent="0.35">
      <c r="B21" t="s">
        <v>3</v>
      </c>
    </row>
  </sheetData>
  <conditionalFormatting sqref="A6:A21">
    <cfRule type="expression" dxfId="52" priority="2">
      <formula>B6="Fail"</formula>
    </cfRule>
    <cfRule type="expression" dxfId="51" priority="3">
      <formula>B6="Pending"</formula>
    </cfRule>
  </conditionalFormatting>
  <conditionalFormatting sqref="A6:A21">
    <cfRule type="expression" dxfId="50" priority="1">
      <formula>B6="Pass"</formula>
    </cfRule>
  </conditionalFormatting>
  <dataValidations count="1">
    <dataValidation type="list" allowBlank="1" showInputMessage="1" showErrorMessage="1" sqref="B6:B21" xr:uid="{00000000-0002-0000-0A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633EDFA-42E9-4700-B19C-AD26DF7E664A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C63404E3-5BEE-495F-B9A3-8EC7E26DC37F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FB60834-D17D-4ADB-9032-60841A2A81F6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1000000}">
          <x14:formula1>
            <xm:f>Overview!$C$9:$C$12</xm:f>
          </x14:formula1>
          <xm:sqref>D6:D21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O12"/>
  <sheetViews>
    <sheetView topLeftCell="A10" workbookViewId="0">
      <selection activeCell="A10" sqref="A10"/>
    </sheetView>
  </sheetViews>
  <sheetFormatPr defaultRowHeight="14.5" x14ac:dyDescent="0.35"/>
  <cols>
    <col min="1" max="1" width="29.36328125" customWidth="1"/>
    <col min="3" max="3" width="55.6328125" customWidth="1"/>
    <col min="4" max="4" width="12.90625" bestFit="1" customWidth="1"/>
  </cols>
  <sheetData>
    <row r="1" spans="1:15" x14ac:dyDescent="0.35">
      <c r="A1" s="1" t="s">
        <v>1</v>
      </c>
      <c r="B1">
        <f>COUNTIF(Table76[Result],"Pass")</f>
        <v>0</v>
      </c>
    </row>
    <row r="2" spans="1:15" x14ac:dyDescent="0.35">
      <c r="A2" s="2" t="s">
        <v>2</v>
      </c>
      <c r="B2">
        <f>COUNTIF(Table76[Result],"Fail")</f>
        <v>7</v>
      </c>
    </row>
    <row r="3" spans="1:15" x14ac:dyDescent="0.35">
      <c r="A3" s="3" t="s">
        <v>3</v>
      </c>
      <c r="B3">
        <f>COUNTIF(Table76[Result],"Pending")</f>
        <v>0</v>
      </c>
    </row>
    <row r="4" spans="1:15" x14ac:dyDescent="0.35">
      <c r="A4" t="s">
        <v>4</v>
      </c>
      <c r="B4">
        <f>COUNTA(Table76[Test Case])</f>
        <v>7</v>
      </c>
    </row>
    <row r="5" spans="1:15" x14ac:dyDescent="0.35">
      <c r="A5" s="4" t="s">
        <v>0</v>
      </c>
      <c r="B5" s="4" t="s">
        <v>5</v>
      </c>
      <c r="C5" s="4" t="s">
        <v>141</v>
      </c>
      <c r="D5" s="4" t="s">
        <v>251</v>
      </c>
      <c r="E5" s="61" t="s">
        <v>306</v>
      </c>
      <c r="F5" s="61" t="s">
        <v>307</v>
      </c>
      <c r="G5" s="61" t="s">
        <v>308</v>
      </c>
      <c r="H5" s="61" t="s">
        <v>309</v>
      </c>
      <c r="I5" s="61" t="s">
        <v>310</v>
      </c>
      <c r="J5" s="61" t="s">
        <v>311</v>
      </c>
      <c r="K5" s="61" t="s">
        <v>312</v>
      </c>
      <c r="L5" s="61" t="s">
        <v>313</v>
      </c>
      <c r="M5" s="61" t="s">
        <v>314</v>
      </c>
      <c r="N5" s="61" t="s">
        <v>315</v>
      </c>
      <c r="O5" s="61" t="s">
        <v>316</v>
      </c>
    </row>
    <row r="6" spans="1:15" ht="15" thickBot="1" x14ac:dyDescent="0.4">
      <c r="A6" s="64" t="s">
        <v>377</v>
      </c>
      <c r="B6" s="66" t="s">
        <v>2</v>
      </c>
      <c r="C6" s="66" t="s">
        <v>378</v>
      </c>
    </row>
    <row r="7" spans="1:15" ht="15" thickBot="1" x14ac:dyDescent="0.4">
      <c r="A7" s="64" t="s">
        <v>379</v>
      </c>
      <c r="B7" s="66" t="s">
        <v>2</v>
      </c>
      <c r="C7" s="66" t="s">
        <v>378</v>
      </c>
    </row>
    <row r="8" spans="1:15" ht="44" thickBot="1" x14ac:dyDescent="0.4">
      <c r="A8" s="64" t="s">
        <v>380</v>
      </c>
      <c r="B8" s="66" t="s">
        <v>2</v>
      </c>
      <c r="C8" s="66" t="s">
        <v>381</v>
      </c>
    </row>
    <row r="9" spans="1:15" ht="29.5" thickBot="1" x14ac:dyDescent="0.4">
      <c r="A9" s="64" t="s">
        <v>382</v>
      </c>
      <c r="B9" s="66" t="s">
        <v>2</v>
      </c>
      <c r="C9" s="66" t="s">
        <v>383</v>
      </c>
    </row>
    <row r="10" spans="1:15" ht="29.5" thickBot="1" x14ac:dyDescent="0.4">
      <c r="A10" s="64" t="s">
        <v>384</v>
      </c>
      <c r="B10" s="66" t="s">
        <v>2</v>
      </c>
      <c r="C10" s="66" t="s">
        <v>385</v>
      </c>
    </row>
    <row r="11" spans="1:15" ht="29.5" thickBot="1" x14ac:dyDescent="0.4">
      <c r="A11" s="64" t="s">
        <v>386</v>
      </c>
      <c r="B11" s="66" t="s">
        <v>2</v>
      </c>
      <c r="C11" s="66" t="s">
        <v>387</v>
      </c>
    </row>
    <row r="12" spans="1:15" ht="29.5" thickBot="1" x14ac:dyDescent="0.4">
      <c r="A12" s="64" t="s">
        <v>388</v>
      </c>
      <c r="B12" s="66" t="s">
        <v>2</v>
      </c>
      <c r="C12" s="66" t="s">
        <v>385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Overview!$C$9:$C$12</xm:f>
          </x14:formula1>
          <xm:sqref>D6:D12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O12"/>
  <sheetViews>
    <sheetView workbookViewId="0">
      <selection activeCell="B15" sqref="B15"/>
    </sheetView>
  </sheetViews>
  <sheetFormatPr defaultRowHeight="14.5" x14ac:dyDescent="0.35"/>
  <cols>
    <col min="1" max="1" width="16.08984375" customWidth="1"/>
    <col min="3" max="3" width="55.6328125" customWidth="1"/>
    <col min="4" max="4" width="12.90625" bestFit="1" customWidth="1"/>
  </cols>
  <sheetData>
    <row r="1" spans="1:15" x14ac:dyDescent="0.35">
      <c r="A1" s="1" t="s">
        <v>1</v>
      </c>
      <c r="B1" t="e">
        <f>COUNTIF(#REF!,"Pass")</f>
        <v>#REF!</v>
      </c>
    </row>
    <row r="2" spans="1:15" x14ac:dyDescent="0.35">
      <c r="A2" s="2" t="s">
        <v>2</v>
      </c>
      <c r="B2" t="e">
        <f>COUNTIF(#REF!,"Fail")</f>
        <v>#REF!</v>
      </c>
    </row>
    <row r="3" spans="1:15" x14ac:dyDescent="0.35">
      <c r="A3" s="3" t="s">
        <v>3</v>
      </c>
      <c r="B3" t="e">
        <f>COUNTIF(#REF!,"Pending")</f>
        <v>#REF!</v>
      </c>
    </row>
    <row r="4" spans="1:15" x14ac:dyDescent="0.35">
      <c r="A4" t="s">
        <v>4</v>
      </c>
      <c r="B4">
        <f>COUNTA(#REF!)</f>
        <v>1</v>
      </c>
    </row>
    <row r="5" spans="1:15" x14ac:dyDescent="0.35">
      <c r="A5" s="4" t="s">
        <v>0</v>
      </c>
      <c r="B5" s="4" t="s">
        <v>5</v>
      </c>
      <c r="C5" s="4" t="s">
        <v>48</v>
      </c>
      <c r="D5" s="4" t="s">
        <v>251</v>
      </c>
      <c r="E5" s="61" t="s">
        <v>306</v>
      </c>
      <c r="F5" s="61" t="s">
        <v>307</v>
      </c>
      <c r="G5" s="61" t="s">
        <v>308</v>
      </c>
      <c r="H5" s="61" t="s">
        <v>309</v>
      </c>
      <c r="I5" s="61" t="s">
        <v>310</v>
      </c>
      <c r="J5" s="61" t="s">
        <v>311</v>
      </c>
      <c r="K5" s="61" t="s">
        <v>312</v>
      </c>
      <c r="L5" s="61" t="s">
        <v>313</v>
      </c>
      <c r="M5" s="61" t="s">
        <v>314</v>
      </c>
      <c r="N5" s="61" t="s">
        <v>315</v>
      </c>
      <c r="O5" s="61" t="s">
        <v>316</v>
      </c>
    </row>
    <row r="6" spans="1:15" ht="15" thickBot="1" x14ac:dyDescent="0.4">
      <c r="A6" s="70" t="s">
        <v>364</v>
      </c>
      <c r="B6" s="66" t="s">
        <v>2</v>
      </c>
      <c r="C6" s="66" t="s">
        <v>365</v>
      </c>
    </row>
    <row r="7" spans="1:15" ht="29.5" thickBot="1" x14ac:dyDescent="0.4">
      <c r="A7" s="70" t="s">
        <v>366</v>
      </c>
      <c r="B7" s="66" t="s">
        <v>2</v>
      </c>
      <c r="C7" s="66" t="s">
        <v>367</v>
      </c>
    </row>
    <row r="8" spans="1:15" x14ac:dyDescent="0.35">
      <c r="A8" s="74" t="s">
        <v>368</v>
      </c>
      <c r="B8" s="76" t="s">
        <v>2</v>
      </c>
      <c r="C8" s="67" t="s">
        <v>369</v>
      </c>
    </row>
    <row r="9" spans="1:15" ht="29.5" thickBot="1" x14ac:dyDescent="0.4">
      <c r="A9" s="75"/>
      <c r="B9" s="77"/>
      <c r="C9" s="66" t="s">
        <v>370</v>
      </c>
    </row>
    <row r="10" spans="1:15" x14ac:dyDescent="0.35">
      <c r="A10" s="74" t="s">
        <v>371</v>
      </c>
      <c r="B10" s="67" t="s">
        <v>2</v>
      </c>
      <c r="C10" s="67" t="s">
        <v>373</v>
      </c>
    </row>
    <row r="11" spans="1:15" ht="44" thickBot="1" x14ac:dyDescent="0.4">
      <c r="A11" s="75"/>
      <c r="B11" s="66" t="s">
        <v>372</v>
      </c>
      <c r="C11" s="66" t="s">
        <v>374</v>
      </c>
    </row>
    <row r="12" spans="1:15" ht="15" thickBot="1" x14ac:dyDescent="0.4">
      <c r="A12" s="71" t="s">
        <v>375</v>
      </c>
      <c r="B12" s="72" t="s">
        <v>1</v>
      </c>
      <c r="C12" s="72" t="s">
        <v>376</v>
      </c>
    </row>
  </sheetData>
  <mergeCells count="3">
    <mergeCell ref="A8:A9"/>
    <mergeCell ref="B8:B9"/>
    <mergeCell ref="A10:A11"/>
  </mergeCells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Overview!$C$9:$C$12</xm:f>
          </x14:formula1>
          <xm:sqref>D6:D12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D24"/>
  <sheetViews>
    <sheetView workbookViewId="0">
      <selection activeCell="D11" sqref="D11"/>
    </sheetView>
  </sheetViews>
  <sheetFormatPr defaultRowHeight="14.5" x14ac:dyDescent="0.35"/>
  <cols>
    <col min="1" max="1" width="11.6328125" customWidth="1"/>
    <col min="3" max="3" width="59.36328125" style="5" customWidth="1"/>
    <col min="4" max="4" width="12.90625" bestFit="1" customWidth="1"/>
  </cols>
  <sheetData>
    <row r="1" spans="1:4" x14ac:dyDescent="0.35">
      <c r="A1" s="1" t="s">
        <v>1</v>
      </c>
      <c r="B1">
        <f>COUNTIF(Table6[Result],"Pass")</f>
        <v>0</v>
      </c>
    </row>
    <row r="2" spans="1:4" x14ac:dyDescent="0.35">
      <c r="A2" s="2" t="s">
        <v>2</v>
      </c>
      <c r="B2">
        <f>COUNTIF(Table6[Result],"Fail")</f>
        <v>0</v>
      </c>
    </row>
    <row r="3" spans="1:4" x14ac:dyDescent="0.35">
      <c r="A3" s="3" t="s">
        <v>3</v>
      </c>
      <c r="B3">
        <f>COUNTIF(Table6[Result],"Pending")</f>
        <v>11</v>
      </c>
    </row>
    <row r="4" spans="1:4" x14ac:dyDescent="0.35">
      <c r="A4" t="s">
        <v>4</v>
      </c>
      <c r="B4">
        <f>COUNTA(Table6[Test Case])</f>
        <v>11</v>
      </c>
    </row>
    <row r="5" spans="1:4" x14ac:dyDescent="0.35">
      <c r="A5" s="4" t="s">
        <v>0</v>
      </c>
      <c r="B5" s="4" t="s">
        <v>5</v>
      </c>
      <c r="C5" s="6" t="s">
        <v>141</v>
      </c>
      <c r="D5" s="4" t="s">
        <v>251</v>
      </c>
    </row>
    <row r="6" spans="1:4" x14ac:dyDescent="0.35">
      <c r="A6" t="s">
        <v>170</v>
      </c>
      <c r="B6" t="s">
        <v>3</v>
      </c>
    </row>
    <row r="7" spans="1:4" x14ac:dyDescent="0.35">
      <c r="A7" t="s">
        <v>171</v>
      </c>
      <c r="B7" t="s">
        <v>3</v>
      </c>
    </row>
    <row r="8" spans="1:4" x14ac:dyDescent="0.35">
      <c r="A8" t="s">
        <v>172</v>
      </c>
      <c r="B8" t="s">
        <v>3</v>
      </c>
    </row>
    <row r="9" spans="1:4" x14ac:dyDescent="0.35">
      <c r="A9" t="s">
        <v>173</v>
      </c>
      <c r="B9" t="s">
        <v>3</v>
      </c>
    </row>
    <row r="10" spans="1:4" x14ac:dyDescent="0.35">
      <c r="A10" t="s">
        <v>174</v>
      </c>
      <c r="B10" t="s">
        <v>3</v>
      </c>
    </row>
    <row r="11" spans="1:4" x14ac:dyDescent="0.35">
      <c r="A11" t="s">
        <v>175</v>
      </c>
      <c r="B11" t="s">
        <v>3</v>
      </c>
    </row>
    <row r="12" spans="1:4" x14ac:dyDescent="0.35">
      <c r="A12" t="s">
        <v>176</v>
      </c>
      <c r="B12" t="s">
        <v>3</v>
      </c>
      <c r="C12" s="7"/>
    </row>
    <row r="13" spans="1:4" x14ac:dyDescent="0.35">
      <c r="A13" t="s">
        <v>177</v>
      </c>
      <c r="B13" t="s">
        <v>3</v>
      </c>
      <c r="C13" s="7"/>
    </row>
    <row r="14" spans="1:4" x14ac:dyDescent="0.35">
      <c r="A14" t="s">
        <v>178</v>
      </c>
      <c r="B14" t="s">
        <v>3</v>
      </c>
      <c r="C14" s="7"/>
    </row>
    <row r="15" spans="1:4" x14ac:dyDescent="0.35">
      <c r="A15" t="s">
        <v>179</v>
      </c>
      <c r="B15" t="s">
        <v>3</v>
      </c>
      <c r="C15" s="7"/>
    </row>
    <row r="16" spans="1:4" x14ac:dyDescent="0.35">
      <c r="A16" t="s">
        <v>180</v>
      </c>
      <c r="B16" t="s">
        <v>3</v>
      </c>
      <c r="C16" s="7"/>
    </row>
    <row r="17" spans="3:3" x14ac:dyDescent="0.35">
      <c r="C17" s="7"/>
    </row>
    <row r="18" spans="3:3" x14ac:dyDescent="0.35">
      <c r="C18" s="7"/>
    </row>
    <row r="19" spans="3:3" x14ac:dyDescent="0.35">
      <c r="C19" s="7"/>
    </row>
    <row r="20" spans="3:3" x14ac:dyDescent="0.35">
      <c r="C20" s="7"/>
    </row>
    <row r="21" spans="3:3" x14ac:dyDescent="0.35">
      <c r="C21" s="7"/>
    </row>
    <row r="22" spans="3:3" x14ac:dyDescent="0.35">
      <c r="C22" s="7"/>
    </row>
    <row r="23" spans="3:3" x14ac:dyDescent="0.35">
      <c r="C23" s="7"/>
    </row>
    <row r="24" spans="3:3" x14ac:dyDescent="0.35">
      <c r="C24" s="7"/>
    </row>
  </sheetData>
  <conditionalFormatting sqref="A6:A16">
    <cfRule type="expression" dxfId="43" priority="2">
      <formula>B6="Fail"</formula>
    </cfRule>
    <cfRule type="expression" dxfId="42" priority="3">
      <formula>B6="Pending"</formula>
    </cfRule>
  </conditionalFormatting>
  <conditionalFormatting sqref="A6:A16">
    <cfRule type="expression" dxfId="41" priority="1">
      <formula>B6="Pass"</formula>
    </cfRule>
  </conditionalFormatting>
  <dataValidations count="1">
    <dataValidation type="list" allowBlank="1" showInputMessage="1" showErrorMessage="1" sqref="B6:B16" xr:uid="{00000000-0002-0000-0D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9F44F69-D47F-4F53-A26D-7B00BA4A5058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52EA4B3C-44A2-4E42-958B-6E72757EFB3A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E84E04B9-9F63-4AD6-8970-3DCCA6D6D283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1000000}">
          <x14:formula1>
            <xm:f>Overview!$C$9:$C$12</xm:f>
          </x14:formula1>
          <xm:sqref>D6:D16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I10"/>
  <sheetViews>
    <sheetView workbookViewId="0">
      <selection activeCell="C13" sqref="C13"/>
    </sheetView>
  </sheetViews>
  <sheetFormatPr defaultRowHeight="14.5" x14ac:dyDescent="0.35"/>
  <cols>
    <col min="1" max="1" width="11" customWidth="1"/>
    <col min="3" max="3" width="54.36328125" style="5" customWidth="1"/>
    <col min="4" max="4" width="12.90625" bestFit="1" customWidth="1"/>
    <col min="5" max="5" width="13.36328125" customWidth="1"/>
    <col min="6" max="6" width="30" customWidth="1"/>
    <col min="7" max="7" width="12.453125" customWidth="1"/>
    <col min="8" max="8" width="15" customWidth="1"/>
    <col min="9" max="9" width="19" customWidth="1"/>
  </cols>
  <sheetData>
    <row r="1" spans="1:9" x14ac:dyDescent="0.35">
      <c r="A1" s="1" t="s">
        <v>1</v>
      </c>
      <c r="B1">
        <f>COUNTIF(Table8[Result],"Pass")</f>
        <v>0</v>
      </c>
    </row>
    <row r="2" spans="1:9" x14ac:dyDescent="0.35">
      <c r="A2" s="2" t="s">
        <v>2</v>
      </c>
      <c r="B2">
        <f>COUNTIF(Table8[Result],"Fail")</f>
        <v>0</v>
      </c>
    </row>
    <row r="3" spans="1:9" x14ac:dyDescent="0.35">
      <c r="A3" s="3" t="s">
        <v>3</v>
      </c>
      <c r="B3">
        <f>COUNTIF(Table8[Result],"Pending")</f>
        <v>5</v>
      </c>
    </row>
    <row r="4" spans="1:9" x14ac:dyDescent="0.35">
      <c r="A4" t="s">
        <v>4</v>
      </c>
      <c r="B4">
        <f>COUNTA(Table8[Test Case])</f>
        <v>5</v>
      </c>
    </row>
    <row r="5" spans="1:9" ht="14.4" customHeight="1" x14ac:dyDescent="0.35">
      <c r="A5" s="4" t="s">
        <v>0</v>
      </c>
      <c r="B5" s="4" t="s">
        <v>5</v>
      </c>
      <c r="C5" s="6" t="s">
        <v>141</v>
      </c>
      <c r="D5" s="4" t="s">
        <v>251</v>
      </c>
    </row>
    <row r="6" spans="1:9" x14ac:dyDescent="0.35">
      <c r="A6" t="s">
        <v>16</v>
      </c>
      <c r="B6" t="s">
        <v>3</v>
      </c>
      <c r="C6" s="8"/>
    </row>
    <row r="7" spans="1:9" x14ac:dyDescent="0.35">
      <c r="A7" t="s">
        <v>14</v>
      </c>
      <c r="B7" t="s">
        <v>3</v>
      </c>
      <c r="C7" s="8"/>
    </row>
    <row r="8" spans="1:9" x14ac:dyDescent="0.35">
      <c r="A8" t="s">
        <v>17</v>
      </c>
      <c r="B8" t="s">
        <v>3</v>
      </c>
    </row>
    <row r="9" spans="1:9" x14ac:dyDescent="0.35">
      <c r="A9" t="s">
        <v>15</v>
      </c>
      <c r="B9" t="s">
        <v>3</v>
      </c>
      <c r="C9" s="8"/>
      <c r="E9" s="9"/>
      <c r="F9" s="9"/>
      <c r="G9" s="9"/>
      <c r="H9" s="9"/>
      <c r="I9" s="9"/>
    </row>
    <row r="10" spans="1:9" x14ac:dyDescent="0.35">
      <c r="A10" t="s">
        <v>116</v>
      </c>
      <c r="B10" t="s">
        <v>3</v>
      </c>
    </row>
  </sheetData>
  <conditionalFormatting sqref="A6:A10">
    <cfRule type="expression" dxfId="35" priority="2">
      <formula>B6="Fail"</formula>
    </cfRule>
    <cfRule type="expression" dxfId="34" priority="3">
      <formula>B6="Pending"</formula>
    </cfRule>
  </conditionalFormatting>
  <conditionalFormatting sqref="A6:A10">
    <cfRule type="expression" dxfId="33" priority="1">
      <formula>B6="Pass"</formula>
    </cfRule>
  </conditionalFormatting>
  <dataValidations count="1">
    <dataValidation type="list" allowBlank="1" showInputMessage="1" showErrorMessage="1" sqref="B6:B10" xr:uid="{00000000-0002-0000-0E00-000000000000}">
      <formula1>$A$1:$A$3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D73587E-1630-48A6-B4E8-C52454190CC0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7FA055C4-4BDB-41F5-94EE-402CF6701172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6CF14C55-2574-43A5-94C7-5481EEC72C73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E00-000001000000}">
          <x14:formula1>
            <xm:f>Overview!$C$9:$C$12</xm:f>
          </x14:formula1>
          <xm:sqref>D6:D10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D64"/>
  <sheetViews>
    <sheetView workbookViewId="0">
      <selection activeCell="D16" sqref="D16"/>
    </sheetView>
  </sheetViews>
  <sheetFormatPr defaultRowHeight="14.5" x14ac:dyDescent="0.35"/>
  <cols>
    <col min="1" max="1" width="10.6328125" customWidth="1"/>
    <col min="3" max="3" width="58.36328125" style="5" customWidth="1"/>
    <col min="4" max="4" width="12.90625" customWidth="1"/>
  </cols>
  <sheetData>
    <row r="1" spans="1:4" x14ac:dyDescent="0.35">
      <c r="A1" s="1" t="s">
        <v>1</v>
      </c>
      <c r="B1">
        <f>COUNTIF(Table4[Result],"Pass")</f>
        <v>0</v>
      </c>
    </row>
    <row r="2" spans="1:4" x14ac:dyDescent="0.35">
      <c r="A2" s="2" t="s">
        <v>2</v>
      </c>
      <c r="B2">
        <f>COUNTIF(Table4[Result],"Fail")</f>
        <v>0</v>
      </c>
    </row>
    <row r="3" spans="1:4" x14ac:dyDescent="0.35">
      <c r="A3" s="3" t="s">
        <v>3</v>
      </c>
      <c r="B3">
        <f>COUNTIF(Table4[Result],"Pending")</f>
        <v>59</v>
      </c>
    </row>
    <row r="4" spans="1:4" x14ac:dyDescent="0.35">
      <c r="A4" t="s">
        <v>4</v>
      </c>
      <c r="B4">
        <f>COUNTA(Table4[Test Case])</f>
        <v>59</v>
      </c>
    </row>
    <row r="5" spans="1:4" x14ac:dyDescent="0.35">
      <c r="A5" s="4" t="s">
        <v>0</v>
      </c>
      <c r="B5" s="4" t="s">
        <v>5</v>
      </c>
      <c r="C5" s="6" t="s">
        <v>141</v>
      </c>
      <c r="D5" s="4" t="s">
        <v>251</v>
      </c>
    </row>
    <row r="6" spans="1:4" x14ac:dyDescent="0.35">
      <c r="A6" t="s">
        <v>55</v>
      </c>
      <c r="B6" t="s">
        <v>3</v>
      </c>
    </row>
    <row r="7" spans="1:4" x14ac:dyDescent="0.35">
      <c r="A7" t="s">
        <v>56</v>
      </c>
      <c r="B7" t="s">
        <v>3</v>
      </c>
    </row>
    <row r="8" spans="1:4" x14ac:dyDescent="0.35">
      <c r="A8" t="s">
        <v>57</v>
      </c>
      <c r="B8" t="s">
        <v>3</v>
      </c>
    </row>
    <row r="9" spans="1:4" x14ac:dyDescent="0.35">
      <c r="A9" t="s">
        <v>58</v>
      </c>
      <c r="B9" t="s">
        <v>3</v>
      </c>
    </row>
    <row r="10" spans="1:4" x14ac:dyDescent="0.35">
      <c r="A10" t="s">
        <v>59</v>
      </c>
      <c r="B10" t="s">
        <v>3</v>
      </c>
    </row>
    <row r="11" spans="1:4" x14ac:dyDescent="0.35">
      <c r="A11" t="s">
        <v>60</v>
      </c>
      <c r="B11" t="s">
        <v>3</v>
      </c>
    </row>
    <row r="12" spans="1:4" x14ac:dyDescent="0.35">
      <c r="A12" t="s">
        <v>61</v>
      </c>
      <c r="B12" t="s">
        <v>3</v>
      </c>
    </row>
    <row r="13" spans="1:4" x14ac:dyDescent="0.35">
      <c r="A13" t="s">
        <v>62</v>
      </c>
      <c r="B13" t="s">
        <v>3</v>
      </c>
    </row>
    <row r="14" spans="1:4" x14ac:dyDescent="0.35">
      <c r="A14" t="s">
        <v>63</v>
      </c>
      <c r="B14" t="s">
        <v>3</v>
      </c>
    </row>
    <row r="15" spans="1:4" x14ac:dyDescent="0.35">
      <c r="A15" t="s">
        <v>64</v>
      </c>
      <c r="B15" t="s">
        <v>3</v>
      </c>
    </row>
    <row r="16" spans="1:4" x14ac:dyDescent="0.35">
      <c r="A16" t="s">
        <v>65</v>
      </c>
      <c r="B16" t="s">
        <v>3</v>
      </c>
    </row>
    <row r="17" spans="1:2" x14ac:dyDescent="0.35">
      <c r="A17" t="s">
        <v>66</v>
      </c>
      <c r="B17" t="s">
        <v>3</v>
      </c>
    </row>
    <row r="18" spans="1:2" x14ac:dyDescent="0.35">
      <c r="A18" t="s">
        <v>67</v>
      </c>
      <c r="B18" t="s">
        <v>3</v>
      </c>
    </row>
    <row r="19" spans="1:2" x14ac:dyDescent="0.35">
      <c r="A19" t="s">
        <v>68</v>
      </c>
      <c r="B19" t="s">
        <v>3</v>
      </c>
    </row>
    <row r="20" spans="1:2" x14ac:dyDescent="0.35">
      <c r="A20" t="s">
        <v>69</v>
      </c>
      <c r="B20" t="s">
        <v>3</v>
      </c>
    </row>
    <row r="21" spans="1:2" x14ac:dyDescent="0.35">
      <c r="A21" t="s">
        <v>70</v>
      </c>
      <c r="B21" t="s">
        <v>3</v>
      </c>
    </row>
    <row r="22" spans="1:2" x14ac:dyDescent="0.35">
      <c r="A22" t="s">
        <v>71</v>
      </c>
      <c r="B22" t="s">
        <v>3</v>
      </c>
    </row>
    <row r="23" spans="1:2" x14ac:dyDescent="0.35">
      <c r="A23" t="s">
        <v>72</v>
      </c>
      <c r="B23" t="s">
        <v>3</v>
      </c>
    </row>
    <row r="24" spans="1:2" x14ac:dyDescent="0.35">
      <c r="A24" t="s">
        <v>73</v>
      </c>
      <c r="B24" t="s">
        <v>3</v>
      </c>
    </row>
    <row r="25" spans="1:2" x14ac:dyDescent="0.35">
      <c r="A25" t="s">
        <v>74</v>
      </c>
      <c r="B25" t="s">
        <v>3</v>
      </c>
    </row>
    <row r="26" spans="1:2" x14ac:dyDescent="0.35">
      <c r="A26" t="s">
        <v>75</v>
      </c>
      <c r="B26" t="s">
        <v>3</v>
      </c>
    </row>
    <row r="27" spans="1:2" x14ac:dyDescent="0.35">
      <c r="A27" t="s">
        <v>76</v>
      </c>
      <c r="B27" t="s">
        <v>3</v>
      </c>
    </row>
    <row r="28" spans="1:2" x14ac:dyDescent="0.35">
      <c r="A28" t="s">
        <v>77</v>
      </c>
      <c r="B28" t="s">
        <v>3</v>
      </c>
    </row>
    <row r="29" spans="1:2" x14ac:dyDescent="0.35">
      <c r="A29" t="s">
        <v>78</v>
      </c>
      <c r="B29" t="s">
        <v>3</v>
      </c>
    </row>
    <row r="30" spans="1:2" x14ac:dyDescent="0.35">
      <c r="A30" t="s">
        <v>79</v>
      </c>
      <c r="B30" t="s">
        <v>3</v>
      </c>
    </row>
    <row r="31" spans="1:2" x14ac:dyDescent="0.35">
      <c r="A31" t="s">
        <v>80</v>
      </c>
      <c r="B31" t="s">
        <v>3</v>
      </c>
    </row>
    <row r="32" spans="1:2" x14ac:dyDescent="0.35">
      <c r="A32" t="s">
        <v>81</v>
      </c>
      <c r="B32" t="s">
        <v>3</v>
      </c>
    </row>
    <row r="33" spans="1:2" x14ac:dyDescent="0.35">
      <c r="A33" t="s">
        <v>82</v>
      </c>
      <c r="B33" t="s">
        <v>3</v>
      </c>
    </row>
    <row r="34" spans="1:2" x14ac:dyDescent="0.35">
      <c r="A34" t="s">
        <v>83</v>
      </c>
      <c r="B34" t="s">
        <v>3</v>
      </c>
    </row>
    <row r="35" spans="1:2" x14ac:dyDescent="0.35">
      <c r="A35" t="s">
        <v>84</v>
      </c>
      <c r="B35" t="s">
        <v>3</v>
      </c>
    </row>
    <row r="36" spans="1:2" x14ac:dyDescent="0.35">
      <c r="A36" t="s">
        <v>85</v>
      </c>
      <c r="B36" t="s">
        <v>3</v>
      </c>
    </row>
    <row r="37" spans="1:2" x14ac:dyDescent="0.35">
      <c r="A37" t="s">
        <v>86</v>
      </c>
      <c r="B37" t="s">
        <v>3</v>
      </c>
    </row>
    <row r="38" spans="1:2" x14ac:dyDescent="0.35">
      <c r="A38" t="s">
        <v>87</v>
      </c>
      <c r="B38" t="s">
        <v>3</v>
      </c>
    </row>
    <row r="39" spans="1:2" x14ac:dyDescent="0.35">
      <c r="A39" t="s">
        <v>88</v>
      </c>
      <c r="B39" t="s">
        <v>3</v>
      </c>
    </row>
    <row r="40" spans="1:2" x14ac:dyDescent="0.35">
      <c r="A40" t="s">
        <v>89</v>
      </c>
      <c r="B40" t="s">
        <v>3</v>
      </c>
    </row>
    <row r="41" spans="1:2" x14ac:dyDescent="0.35">
      <c r="A41" t="s">
        <v>90</v>
      </c>
      <c r="B41" t="s">
        <v>3</v>
      </c>
    </row>
    <row r="42" spans="1:2" x14ac:dyDescent="0.35">
      <c r="A42" t="s">
        <v>91</v>
      </c>
      <c r="B42" t="s">
        <v>3</v>
      </c>
    </row>
    <row r="43" spans="1:2" x14ac:dyDescent="0.35">
      <c r="A43" t="s">
        <v>92</v>
      </c>
      <c r="B43" t="s">
        <v>3</v>
      </c>
    </row>
    <row r="44" spans="1:2" x14ac:dyDescent="0.35">
      <c r="A44" t="s">
        <v>93</v>
      </c>
      <c r="B44" t="s">
        <v>3</v>
      </c>
    </row>
    <row r="45" spans="1:2" x14ac:dyDescent="0.35">
      <c r="A45" t="s">
        <v>94</v>
      </c>
      <c r="B45" t="s">
        <v>3</v>
      </c>
    </row>
    <row r="46" spans="1:2" x14ac:dyDescent="0.35">
      <c r="A46" t="s">
        <v>95</v>
      </c>
      <c r="B46" t="s">
        <v>3</v>
      </c>
    </row>
    <row r="47" spans="1:2" x14ac:dyDescent="0.35">
      <c r="A47" t="s">
        <v>96</v>
      </c>
      <c r="B47" t="s">
        <v>3</v>
      </c>
    </row>
    <row r="48" spans="1:2" x14ac:dyDescent="0.35">
      <c r="A48" t="s">
        <v>97</v>
      </c>
      <c r="B48" t="s">
        <v>3</v>
      </c>
    </row>
    <row r="49" spans="1:2" x14ac:dyDescent="0.35">
      <c r="A49" t="s">
        <v>98</v>
      </c>
      <c r="B49" t="s">
        <v>3</v>
      </c>
    </row>
    <row r="50" spans="1:2" x14ac:dyDescent="0.35">
      <c r="A50" t="s">
        <v>99</v>
      </c>
      <c r="B50" t="s">
        <v>3</v>
      </c>
    </row>
    <row r="51" spans="1:2" x14ac:dyDescent="0.35">
      <c r="A51" t="s">
        <v>100</v>
      </c>
      <c r="B51" t="s">
        <v>3</v>
      </c>
    </row>
    <row r="52" spans="1:2" x14ac:dyDescent="0.35">
      <c r="A52" t="s">
        <v>101</v>
      </c>
      <c r="B52" t="s">
        <v>3</v>
      </c>
    </row>
    <row r="53" spans="1:2" x14ac:dyDescent="0.35">
      <c r="A53" t="s">
        <v>102</v>
      </c>
      <c r="B53" t="s">
        <v>3</v>
      </c>
    </row>
    <row r="54" spans="1:2" x14ac:dyDescent="0.35">
      <c r="A54" t="s">
        <v>103</v>
      </c>
      <c r="B54" t="s">
        <v>3</v>
      </c>
    </row>
    <row r="55" spans="1:2" x14ac:dyDescent="0.35">
      <c r="A55" t="s">
        <v>104</v>
      </c>
      <c r="B55" t="s">
        <v>3</v>
      </c>
    </row>
    <row r="56" spans="1:2" x14ac:dyDescent="0.35">
      <c r="A56" t="s">
        <v>105</v>
      </c>
      <c r="B56" t="s">
        <v>3</v>
      </c>
    </row>
    <row r="57" spans="1:2" x14ac:dyDescent="0.35">
      <c r="A57" t="s">
        <v>106</v>
      </c>
      <c r="B57" t="s">
        <v>3</v>
      </c>
    </row>
    <row r="58" spans="1:2" x14ac:dyDescent="0.35">
      <c r="A58" t="s">
        <v>107</v>
      </c>
      <c r="B58" t="s">
        <v>3</v>
      </c>
    </row>
    <row r="59" spans="1:2" x14ac:dyDescent="0.35">
      <c r="A59" t="s">
        <v>108</v>
      </c>
      <c r="B59" t="s">
        <v>3</v>
      </c>
    </row>
    <row r="60" spans="1:2" x14ac:dyDescent="0.35">
      <c r="A60" t="s">
        <v>109</v>
      </c>
      <c r="B60" t="s">
        <v>3</v>
      </c>
    </row>
    <row r="61" spans="1:2" x14ac:dyDescent="0.35">
      <c r="A61" t="s">
        <v>110</v>
      </c>
      <c r="B61" t="s">
        <v>3</v>
      </c>
    </row>
    <row r="62" spans="1:2" x14ac:dyDescent="0.35">
      <c r="A62" t="s">
        <v>111</v>
      </c>
      <c r="B62" t="s">
        <v>3</v>
      </c>
    </row>
    <row r="63" spans="1:2" x14ac:dyDescent="0.35">
      <c r="A63" t="s">
        <v>112</v>
      </c>
      <c r="B63" t="s">
        <v>3</v>
      </c>
    </row>
    <row r="64" spans="1:2" x14ac:dyDescent="0.35">
      <c r="A64" t="s">
        <v>113</v>
      </c>
      <c r="B64" t="s">
        <v>3</v>
      </c>
    </row>
  </sheetData>
  <conditionalFormatting sqref="A6:A64">
    <cfRule type="expression" dxfId="27" priority="2">
      <formula>B6="Fail"</formula>
    </cfRule>
    <cfRule type="expression" dxfId="26" priority="3">
      <formula>B6="Pending"</formula>
    </cfRule>
  </conditionalFormatting>
  <conditionalFormatting sqref="A6:A64">
    <cfRule type="expression" dxfId="25" priority="1">
      <formula>B6="Pass"</formula>
    </cfRule>
  </conditionalFormatting>
  <dataValidations count="1">
    <dataValidation type="list" allowBlank="1" showInputMessage="1" showErrorMessage="1" sqref="B6:B64" xr:uid="{00000000-0002-0000-0F00-000000000000}">
      <formula1>$A$1:$A$3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B0944BB7-B952-4A8E-960E-2061047671FF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5" operator="containsText" id="{4C535CF7-F5C1-4214-8AA7-8287BCC8758C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6" operator="containsText" id="{CCB22C5E-2F92-4021-A579-199550C20300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B6:B64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F00-000001000000}">
          <x14:formula1>
            <xm:f>Overview!$C$9:$C$12</xm:f>
          </x14:formula1>
          <xm:sqref>D6:D64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D35"/>
  <sheetViews>
    <sheetView workbookViewId="0">
      <selection activeCell="C6" sqref="C6"/>
    </sheetView>
  </sheetViews>
  <sheetFormatPr defaultRowHeight="14.5" x14ac:dyDescent="0.35"/>
  <cols>
    <col min="1" max="1" width="14.54296875" customWidth="1"/>
    <col min="3" max="3" width="62.08984375" customWidth="1"/>
    <col min="4" max="4" width="12.90625" bestFit="1" customWidth="1"/>
  </cols>
  <sheetData>
    <row r="1" spans="1:4" x14ac:dyDescent="0.35">
      <c r="A1" s="1" t="s">
        <v>1</v>
      </c>
      <c r="B1">
        <f>COUNTIF(Table2[Result],"Pass")</f>
        <v>0</v>
      </c>
    </row>
    <row r="2" spans="1:4" x14ac:dyDescent="0.35">
      <c r="A2" s="2" t="s">
        <v>2</v>
      </c>
      <c r="B2">
        <f>COUNTIF(Table2[Result],"Fail")</f>
        <v>0</v>
      </c>
    </row>
    <row r="3" spans="1:4" x14ac:dyDescent="0.35">
      <c r="A3" s="3" t="s">
        <v>3</v>
      </c>
      <c r="B3">
        <f>COUNTIF(Table2[Result],"Pending")</f>
        <v>30</v>
      </c>
    </row>
    <row r="4" spans="1:4" x14ac:dyDescent="0.35">
      <c r="A4" t="s">
        <v>4</v>
      </c>
      <c r="B4">
        <f>COUNTA(Table2[Result])</f>
        <v>30</v>
      </c>
    </row>
    <row r="5" spans="1:4" x14ac:dyDescent="0.35">
      <c r="A5" s="4" t="s">
        <v>0</v>
      </c>
      <c r="B5" s="4" t="s">
        <v>5</v>
      </c>
      <c r="C5" s="4" t="s">
        <v>141</v>
      </c>
      <c r="D5" s="4" t="s">
        <v>251</v>
      </c>
    </row>
    <row r="6" spans="1:4" x14ac:dyDescent="0.35">
      <c r="A6" t="s">
        <v>18</v>
      </c>
      <c r="B6" t="s">
        <v>3</v>
      </c>
      <c r="C6" s="5"/>
    </row>
    <row r="7" spans="1:4" x14ac:dyDescent="0.35">
      <c r="A7" t="s">
        <v>19</v>
      </c>
      <c r="B7" t="s">
        <v>3</v>
      </c>
      <c r="C7" s="5"/>
    </row>
    <row r="8" spans="1:4" x14ac:dyDescent="0.35">
      <c r="A8" t="s">
        <v>20</v>
      </c>
      <c r="B8" t="s">
        <v>3</v>
      </c>
      <c r="C8" s="5"/>
    </row>
    <row r="9" spans="1:4" x14ac:dyDescent="0.35">
      <c r="A9" t="s">
        <v>21</v>
      </c>
      <c r="B9" t="s">
        <v>3</v>
      </c>
      <c r="C9" s="5"/>
    </row>
    <row r="10" spans="1:4" x14ac:dyDescent="0.35">
      <c r="A10" t="s">
        <v>22</v>
      </c>
      <c r="B10" t="s">
        <v>3</v>
      </c>
      <c r="C10" s="5"/>
    </row>
    <row r="11" spans="1:4" x14ac:dyDescent="0.35">
      <c r="A11" t="s">
        <v>23</v>
      </c>
      <c r="B11" t="s">
        <v>3</v>
      </c>
      <c r="C11" s="5"/>
    </row>
    <row r="12" spans="1:4" x14ac:dyDescent="0.35">
      <c r="A12" t="s">
        <v>24</v>
      </c>
      <c r="B12" t="s">
        <v>3</v>
      </c>
      <c r="C12" s="5"/>
    </row>
    <row r="13" spans="1:4" x14ac:dyDescent="0.35">
      <c r="A13" t="s">
        <v>25</v>
      </c>
      <c r="B13" t="s">
        <v>3</v>
      </c>
      <c r="C13" s="5"/>
    </row>
    <row r="14" spans="1:4" x14ac:dyDescent="0.35">
      <c r="A14" t="s">
        <v>26</v>
      </c>
      <c r="B14" t="s">
        <v>3</v>
      </c>
      <c r="C14" s="5"/>
    </row>
    <row r="15" spans="1:4" x14ac:dyDescent="0.35">
      <c r="A15" t="s">
        <v>27</v>
      </c>
      <c r="B15" t="s">
        <v>3</v>
      </c>
      <c r="C15" s="5"/>
    </row>
    <row r="16" spans="1:4" x14ac:dyDescent="0.35">
      <c r="A16" t="s">
        <v>28</v>
      </c>
      <c r="B16" t="s">
        <v>3</v>
      </c>
      <c r="C16" s="5"/>
    </row>
    <row r="17" spans="1:3" x14ac:dyDescent="0.35">
      <c r="A17" t="s">
        <v>29</v>
      </c>
      <c r="B17" t="s">
        <v>3</v>
      </c>
      <c r="C17" s="5"/>
    </row>
    <row r="18" spans="1:3" x14ac:dyDescent="0.35">
      <c r="A18" t="s">
        <v>30</v>
      </c>
      <c r="B18" t="s">
        <v>3</v>
      </c>
      <c r="C18" s="5"/>
    </row>
    <row r="19" spans="1:3" x14ac:dyDescent="0.35">
      <c r="A19" t="s">
        <v>31</v>
      </c>
      <c r="B19" t="s">
        <v>3</v>
      </c>
      <c r="C19" s="5"/>
    </row>
    <row r="20" spans="1:3" x14ac:dyDescent="0.35">
      <c r="A20" t="s">
        <v>32</v>
      </c>
      <c r="B20" t="s">
        <v>3</v>
      </c>
      <c r="C20" s="5"/>
    </row>
    <row r="21" spans="1:3" x14ac:dyDescent="0.35">
      <c r="A21" t="s">
        <v>33</v>
      </c>
      <c r="B21" t="s">
        <v>3</v>
      </c>
      <c r="C21" s="5"/>
    </row>
    <row r="22" spans="1:3" x14ac:dyDescent="0.35">
      <c r="A22" t="s">
        <v>34</v>
      </c>
      <c r="B22" t="s">
        <v>3</v>
      </c>
      <c r="C22" s="5"/>
    </row>
    <row r="23" spans="1:3" x14ac:dyDescent="0.35">
      <c r="A23" t="s">
        <v>35</v>
      </c>
      <c r="B23" t="s">
        <v>3</v>
      </c>
      <c r="C23" s="5"/>
    </row>
    <row r="24" spans="1:3" x14ac:dyDescent="0.35">
      <c r="A24" t="s">
        <v>36</v>
      </c>
      <c r="B24" t="s">
        <v>3</v>
      </c>
      <c r="C24" s="5"/>
    </row>
    <row r="25" spans="1:3" x14ac:dyDescent="0.35">
      <c r="A25" t="s">
        <v>37</v>
      </c>
      <c r="B25" t="s">
        <v>3</v>
      </c>
      <c r="C25" s="5"/>
    </row>
    <row r="26" spans="1:3" x14ac:dyDescent="0.35">
      <c r="A26" t="s">
        <v>38</v>
      </c>
      <c r="B26" t="s">
        <v>3</v>
      </c>
      <c r="C26" s="5"/>
    </row>
    <row r="27" spans="1:3" x14ac:dyDescent="0.35">
      <c r="A27" t="s">
        <v>39</v>
      </c>
      <c r="B27" t="s">
        <v>3</v>
      </c>
      <c r="C27" s="5"/>
    </row>
    <row r="28" spans="1:3" x14ac:dyDescent="0.35">
      <c r="A28" t="s">
        <v>40</v>
      </c>
      <c r="B28" t="s">
        <v>3</v>
      </c>
      <c r="C28" s="5"/>
    </row>
    <row r="29" spans="1:3" x14ac:dyDescent="0.35">
      <c r="A29" t="s">
        <v>41</v>
      </c>
      <c r="B29" t="s">
        <v>3</v>
      </c>
      <c r="C29" s="5"/>
    </row>
    <row r="30" spans="1:3" x14ac:dyDescent="0.35">
      <c r="A30" t="s">
        <v>42</v>
      </c>
      <c r="B30" t="s">
        <v>3</v>
      </c>
      <c r="C30" s="5"/>
    </row>
    <row r="31" spans="1:3" x14ac:dyDescent="0.35">
      <c r="A31" t="s">
        <v>43</v>
      </c>
      <c r="B31" t="s">
        <v>3</v>
      </c>
      <c r="C31" s="5"/>
    </row>
    <row r="32" spans="1:3" x14ac:dyDescent="0.35">
      <c r="A32" t="s">
        <v>44</v>
      </c>
      <c r="B32" t="s">
        <v>3</v>
      </c>
      <c r="C32" s="5"/>
    </row>
    <row r="33" spans="1:3" x14ac:dyDescent="0.35">
      <c r="A33" t="s">
        <v>45</v>
      </c>
      <c r="B33" t="s">
        <v>3</v>
      </c>
      <c r="C33" s="5"/>
    </row>
    <row r="34" spans="1:3" x14ac:dyDescent="0.35">
      <c r="A34" t="s">
        <v>46</v>
      </c>
      <c r="B34" t="s">
        <v>3</v>
      </c>
      <c r="C34" s="5"/>
    </row>
    <row r="35" spans="1:3" x14ac:dyDescent="0.35">
      <c r="A35" t="s">
        <v>47</v>
      </c>
      <c r="B35" t="s">
        <v>3</v>
      </c>
      <c r="C35" s="5"/>
    </row>
  </sheetData>
  <conditionalFormatting sqref="A7:A23">
    <cfRule type="expression" dxfId="19" priority="32">
      <formula>B7="Fail"</formula>
    </cfRule>
    <cfRule type="expression" dxfId="18" priority="33">
      <formula>B7="Pending"</formula>
    </cfRule>
  </conditionalFormatting>
  <conditionalFormatting sqref="A7:A23">
    <cfRule type="expression" dxfId="17" priority="31">
      <formula>B7="Pass"</formula>
    </cfRule>
  </conditionalFormatting>
  <conditionalFormatting sqref="A6">
    <cfRule type="expression" dxfId="16" priority="26">
      <formula>B6="Fail"</formula>
    </cfRule>
    <cfRule type="expression" dxfId="15" priority="27">
      <formula>B6="Pending"</formula>
    </cfRule>
  </conditionalFormatting>
  <conditionalFormatting sqref="A6">
    <cfRule type="expression" dxfId="14" priority="25">
      <formula>B6="Pass"</formula>
    </cfRule>
  </conditionalFormatting>
  <conditionalFormatting sqref="A24">
    <cfRule type="expression" dxfId="13" priority="8">
      <formula>B24="Fail"</formula>
    </cfRule>
    <cfRule type="expression" dxfId="12" priority="9">
      <formula>B24="Pending"</formula>
    </cfRule>
  </conditionalFormatting>
  <conditionalFormatting sqref="A24">
    <cfRule type="expression" dxfId="11" priority="7">
      <formula>B24="Pass"</formula>
    </cfRule>
  </conditionalFormatting>
  <conditionalFormatting sqref="A25">
    <cfRule type="expression" dxfId="10" priority="5">
      <formula>B25="Fail"</formula>
    </cfRule>
    <cfRule type="expression" dxfId="9" priority="6">
      <formula>B25="Pending"</formula>
    </cfRule>
  </conditionalFormatting>
  <conditionalFormatting sqref="A25">
    <cfRule type="expression" dxfId="8" priority="4">
      <formula>B25="Pass"</formula>
    </cfRule>
  </conditionalFormatting>
  <conditionalFormatting sqref="A26:A35">
    <cfRule type="expression" dxfId="7" priority="2">
      <formula>B26="Fail"</formula>
    </cfRule>
    <cfRule type="expression" dxfId="6" priority="3">
      <formula>B26="Pending"</formula>
    </cfRule>
  </conditionalFormatting>
  <conditionalFormatting sqref="A26:A35">
    <cfRule type="expression" dxfId="5" priority="1">
      <formula>B26="Pass"</formula>
    </cfRule>
  </conditionalFormatting>
  <dataValidations count="1">
    <dataValidation type="list" allowBlank="1" showInputMessage="1" showErrorMessage="1" sqref="B6:B35" xr:uid="{00000000-0002-0000-1000-000000000000}">
      <formula1>$A$1:$A$3</formula1>
    </dataValidation>
  </dataValidations>
  <pageMargins left="0.7" right="0.7" top="0.75" bottom="0.75" header="0.3" footer="0.3"/>
  <pageSetup orientation="portrait" horizontalDpi="4294967295" verticalDpi="4294967295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EE88D6EE-6D9E-4E89-92E0-DA6AB548B507}">
            <xm:f>NOT(ISERROR(SEARCH($A$1,B6)))</xm:f>
            <xm:f>$A$1</xm:f>
            <x14:dxf>
              <font>
                <b val="0"/>
                <i val="0"/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35" operator="containsText" id="{F5953B63-C02C-4708-B930-3FC4B3D62B78}">
            <xm:f>NOT(ISERROR(SEARCH($A$2,B6)))</xm:f>
            <xm:f>$A$2</xm:f>
            <x14:dxf>
              <font>
                <b val="0"/>
                <i val="0"/>
                <color rgb="FFC00000"/>
              </font>
              <fill>
                <patternFill>
                  <bgColor rgb="FFFFCCCC"/>
                </patternFill>
              </fill>
            </x14:dxf>
          </x14:cfRule>
          <x14:cfRule type="containsText" priority="36" operator="containsText" id="{145FB54E-03E5-47A1-86D7-F9A43CD766CC}">
            <xm:f>NOT(ISERROR(SEARCH($A$3,B6)))</xm:f>
            <xm:f>$A$3</xm:f>
            <x14:dxf>
              <font>
                <b val="0"/>
                <i val="0"/>
                <color theme="7" tint="-0.499984740745262"/>
              </font>
              <fill>
                <patternFill>
                  <bgColor theme="7" tint="0.59996337778862885"/>
                </patternFill>
              </fill>
            </x14:dxf>
          </x14:cfRule>
          <xm:sqref>B6:B35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1000000}">
          <x14:formula1>
            <xm:f>Overview!$C$9:$C$12</xm:f>
          </x14:formula1>
          <xm:sqref>D6:D35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Overview</vt:lpstr>
      <vt:lpstr>Gantt</vt:lpstr>
      <vt:lpstr>Test Summary</vt:lpstr>
      <vt:lpstr>Field Options</vt:lpstr>
      <vt:lpstr>AMEX CT</vt:lpstr>
      <vt:lpstr>AMEX CTL</vt:lpstr>
      <vt:lpstr>AMEX QC</vt:lpstr>
      <vt:lpstr>Discover CT</vt:lpstr>
      <vt:lpstr>Instructions</vt:lpstr>
      <vt:lpstr>Discover CTL</vt:lpstr>
      <vt:lpstr>FD Superset</vt:lpstr>
      <vt:lpstr>MasterCard</vt:lpstr>
      <vt:lpstr>VISA CT</vt:lpstr>
      <vt:lpstr>VISA CTL</vt:lpstr>
      <vt:lpstr>VISA US Debit</vt:lpstr>
      <vt:lpstr>Interac</vt:lpstr>
      <vt:lpstr>DNA</vt:lpstr>
      <vt:lpstr>'VISA US Debit'!_MailEndCompose</vt:lpstr>
    </vt:vector>
  </TitlesOfParts>
  <Company>Underwriters Laboratories (UL)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Yilin</dc:creator>
  <cp:lastModifiedBy>Muthakana, Virendra</cp:lastModifiedBy>
  <cp:lastPrinted>2018-02-20T21:21:30Z</cp:lastPrinted>
  <dcterms:created xsi:type="dcterms:W3CDTF">2016-09-28T17:59:13Z</dcterms:created>
  <dcterms:modified xsi:type="dcterms:W3CDTF">2018-11-30T16:18:12Z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a62589d2-4e13-4828-87c4-1f5b3d1c4fcc</vt:lpwstr>
  </property>
</Properties>
</file>